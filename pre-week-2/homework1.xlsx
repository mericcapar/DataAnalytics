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ccapar/Desktop/Yearup/DataAnalytics/pre-week-2/"/>
    </mc:Choice>
  </mc:AlternateContent>
  <xr:revisionPtr revIDLastSave="0" documentId="13_ncr:1_{2F59BE48-DE58-544D-9B35-2D99F17DBF93}" xr6:coauthVersionLast="47" xr6:coauthVersionMax="47" xr10:uidLastSave="{00000000-0000-0000-0000-000000000000}"/>
  <bookViews>
    <workbookView xWindow="0" yWindow="500" windowWidth="28800" windowHeight="17500" xr2:uid="{2E64223D-7A47-1F49-91A2-7446E2026BF9}"/>
  </bookViews>
  <sheets>
    <sheet name="Store_Data" sheetId="1" r:id="rId1"/>
    <sheet name="Store_Summary" sheetId="2" r:id="rId2"/>
    <sheet name="Wait_Data" sheetId="3" r:id="rId3"/>
    <sheet name="Wait_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5" i="3"/>
  <c r="F5" i="3"/>
  <c r="F4" i="3"/>
  <c r="F3" i="3"/>
  <c r="F6" i="3"/>
  <c r="E6" i="3"/>
  <c r="E4" i="3"/>
  <c r="E3" i="3"/>
  <c r="E2" i="3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<sst xmlns="http://schemas.openxmlformats.org/spreadsheetml/2006/main" count="48" uniqueCount="43">
  <si>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</si>
  <si>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</si>
  <si>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</si>
  <si>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</si>
  <si>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</si>
  <si>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</si>
  <si>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</si>
  <si>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</si>
  <si>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</si>
  <si>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</si>
  <si>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</si>
  <si>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</si>
  <si>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</si>
  <si>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</si>
  <si>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Mean:</t>
  </si>
  <si>
    <t>Median:</t>
  </si>
  <si>
    <t>Mode:</t>
  </si>
  <si>
    <t>Range:</t>
  </si>
  <si>
    <t>Standart Deviaton:</t>
  </si>
  <si>
    <t xml:space="preserve">Standart Deviaton2: </t>
  </si>
  <si>
    <t>Branch</t>
  </si>
  <si>
    <t>Avg Wait Time (Minute)</t>
  </si>
  <si>
    <t>Branch A</t>
  </si>
  <si>
    <t>Branch B</t>
  </si>
  <si>
    <t>Branch C</t>
  </si>
  <si>
    <t>Branch D</t>
  </si>
  <si>
    <t>Branch E</t>
  </si>
  <si>
    <t>Branch F</t>
  </si>
  <si>
    <t>Branch G</t>
  </si>
  <si>
    <t>Branch H</t>
  </si>
  <si>
    <t>Branch I</t>
  </si>
  <si>
    <t>Branch J</t>
  </si>
  <si>
    <t>Statistics</t>
  </si>
  <si>
    <t>All Branches</t>
  </si>
  <si>
    <t>Without Branch E</t>
  </si>
  <si>
    <t>Because Branch E has a much higher wait time, it pulls the mean up, so the mean doesn't describe a typical wait very well. The median works better because it sorts the values from smallest to largest and takes the middle one, so a typical customer waits about 13 minutes.</t>
  </si>
  <si>
    <t>Wait times are very consistent across most branches, with a standard deviation of only 1.27 minutes when Branch E is removed.</t>
  </si>
  <si>
    <t>Branch E is bad news for the chain, because its 38-minute wait time is way to longer than other branches.</t>
  </si>
  <si>
    <t>Before conclusions, I would ask: Is the long wait at Branch E caused by a high number of customers or by a staff shortage? I would take steps to find out, and if the cause turns out to be something else, I would adjust my next steps based on that</t>
  </si>
  <si>
    <t>The average monthly sales across all 12 stores is about 49.42, while the median is 47.5. Because one store pulls the average up, the median describes typical store performance better.</t>
  </si>
  <si>
    <t>Most stores sales are between 43 and 52. Without Store H, the standard deviation is only 2.91.</t>
  </si>
  <si>
    <t>Yes, Store H is an outlier with 72 in sales, and it raises the standard deviation from 2.91 to 7.63.</t>
  </si>
  <si>
    <t>I would want more information about Store H, such as its size, location, or whether it ran a special promotion that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</si>
</sst>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973B-BA82-A14A-999A-8B54791243A8}">
  <dimension ref="A1:E13"/>
  <sheetViews>
    <sheetView tabSelected="1" workbookViewId="0">
      <selection activeCell="F7" sqref="F7"/>
    </sheetView>
  </sheetViews>
  <sheetFormatPr baseColWidth="10" defaultRowHeight="16" x14ac:dyDescent="0.2"/>
  <cols>
    <col min="1" max="4" width="10.83203125" style="2"/>
    <col min="5" max="5" width="11.6640625" style="2" bestFit="1" customWidth="1"/>
    <col min="6" max="16384" width="10.83203125" style="2"/>
  </cols>
  <sheetData>
    <row r="1" spans="1:5" ht="34" x14ac:dyDescent="0.2">
      <c r="A1" s="1" t="s">
        <v>0</v>
      </c>
      <c r="B1" s="1" t="s">
        <v>1</v>
      </c>
    </row>
    <row r="2" spans="1:5" ht="17" x14ac:dyDescent="0.2">
      <c r="A2" s="1" t="s">
        <v>2</v>
      </c>
      <c r="B2" s="1">
        <v>51</v>
      </c>
      <c r="D2" s="1" t="s">
        <v>14</v>
      </c>
      <c r="E2" s="1">
        <f>AVERAGE(B2:B13)</f>
        <v>49.416666666666664</v>
      </c>
    </row>
    <row r="3" spans="1:5" ht="17" x14ac:dyDescent="0.2">
      <c r="A3" s="1" t="s">
        <v>3</v>
      </c>
      <c r="B3" s="1">
        <v>44</v>
      </c>
      <c r="D3" s="1" t="s">
        <v>15</v>
      </c>
      <c r="E3" s="1">
        <f>MEDIAN(B2:B13)</f>
        <v>47.5</v>
      </c>
    </row>
    <row r="4" spans="1:5" ht="17" x14ac:dyDescent="0.2">
      <c r="A4" s="1" t="s">
        <v>4</v>
      </c>
      <c r="B4" s="1">
        <v>49</v>
      </c>
      <c r="D4" s="1" t="s">
        <v>16</v>
      </c>
      <c r="E4" s="1">
        <f>_xlfn.MODE.SNGL(B2:B13)</f>
        <v>46</v>
      </c>
    </row>
    <row r="5" spans="1:5" ht="17" x14ac:dyDescent="0.2">
      <c r="A5" s="1" t="s">
        <v>5</v>
      </c>
      <c r="B5" s="1">
        <v>46</v>
      </c>
      <c r="D5" s="1" t="s">
        <v>17</v>
      </c>
      <c r="E5" s="1">
        <f>MAX(B2:B13) - MIN(B2:B13)</f>
        <v>29</v>
      </c>
    </row>
    <row r="6" spans="1:5" ht="34" x14ac:dyDescent="0.2">
      <c r="A6" s="1" t="s">
        <v>6</v>
      </c>
      <c r="B6" s="1">
        <v>52</v>
      </c>
      <c r="D6" s="1" t="s">
        <v>18</v>
      </c>
      <c r="E6" s="1">
        <f>_xlfn.STDEV.S(B2:B13)</f>
        <v>7.6331613054586773</v>
      </c>
    </row>
    <row r="7" spans="1:5" ht="34" x14ac:dyDescent="0.2">
      <c r="A7" s="1" t="s">
        <v>7</v>
      </c>
      <c r="B7" s="1">
        <v>47</v>
      </c>
      <c r="D7" s="1" t="s">
        <v>19</v>
      </c>
      <c r="E7" s="1">
        <f>_xlfn.STDEV.S(B2:B8, (B10:B13))</f>
        <v>2.9076701075853588</v>
      </c>
    </row>
    <row r="8" spans="1:5" ht="17" x14ac:dyDescent="0.2">
      <c r="A8" s="1" t="s">
        <v>8</v>
      </c>
      <c r="B8" s="1">
        <v>45</v>
      </c>
    </row>
    <row r="9" spans="1:5" ht="17" x14ac:dyDescent="0.2">
      <c r="A9" s="1" t="s">
        <v>9</v>
      </c>
      <c r="B9" s="1">
        <v>72</v>
      </c>
    </row>
    <row r="10" spans="1:5" ht="17" x14ac:dyDescent="0.2">
      <c r="A10" s="1" t="s">
        <v>10</v>
      </c>
      <c r="B10" s="1">
        <v>43</v>
      </c>
    </row>
    <row r="11" spans="1:5" ht="17" x14ac:dyDescent="0.2">
      <c r="A11" s="1" t="s">
        <v>11</v>
      </c>
      <c r="B11" s="1">
        <v>48</v>
      </c>
    </row>
    <row r="12" spans="1:5" ht="17" x14ac:dyDescent="0.2">
      <c r="A12" s="1" t="s">
        <v>12</v>
      </c>
      <c r="B12" s="1">
        <v>46</v>
      </c>
    </row>
    <row r="13" spans="1:5" ht="17" x14ac:dyDescent="0.2">
      <c r="A13" s="1" t="s">
        <v>13</v>
      </c>
      <c r="B13" s="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01DE-AE77-934D-A9EC-AEE2EEF4BF8A}">
  <dimension ref="A1:F16"/>
  <sheetViews>
    <sheetView workbookViewId="0">
      <selection activeCell="G13" sqref="G13"/>
    </sheetView>
  </sheetViews>
  <sheetFormatPr baseColWidth="10" defaultRowHeight="16" x14ac:dyDescent="0.2"/>
  <sheetData>
    <row r="1" spans="1:6" x14ac:dyDescent="0.2">
      <c r="A1" s="8" t="s">
        <v>39</v>
      </c>
      <c r="B1" s="8"/>
      <c r="C1" s="8"/>
      <c r="D1" s="8"/>
      <c r="E1" s="8"/>
    </row>
    <row r="2" spans="1:6" x14ac:dyDescent="0.2">
      <c r="A2" s="8"/>
      <c r="B2" s="8"/>
      <c r="C2" s="8"/>
      <c r="D2" s="8"/>
      <c r="E2" s="8"/>
    </row>
    <row r="3" spans="1:6" x14ac:dyDescent="0.2">
      <c r="A3" s="8"/>
      <c r="B3" s="8"/>
      <c r="C3" s="8"/>
      <c r="D3" s="8"/>
      <c r="E3" s="8"/>
    </row>
    <row r="4" spans="1:6" x14ac:dyDescent="0.2">
      <c r="A4" s="8" t="s">
        <v>40</v>
      </c>
      <c r="B4" s="8"/>
      <c r="C4" s="8"/>
      <c r="D4" s="8"/>
      <c r="E4" s="8"/>
    </row>
    <row r="5" spans="1:6" x14ac:dyDescent="0.2">
      <c r="A5" s="8"/>
      <c r="B5" s="8"/>
      <c r="C5" s="8"/>
      <c r="D5" s="8"/>
      <c r="E5" s="8"/>
    </row>
    <row r="6" spans="1:6" x14ac:dyDescent="0.2">
      <c r="A6" s="8"/>
      <c r="B6" s="8"/>
      <c r="C6" s="8"/>
      <c r="D6" s="8"/>
      <c r="E6" s="8"/>
    </row>
    <row r="7" spans="1:6" x14ac:dyDescent="0.2">
      <c r="A7" s="8" t="s">
        <v>41</v>
      </c>
      <c r="B7" s="8"/>
      <c r="C7" s="8"/>
      <c r="D7" s="8"/>
      <c r="E7" s="8"/>
    </row>
    <row r="8" spans="1:6" x14ac:dyDescent="0.2">
      <c r="A8" s="8"/>
      <c r="B8" s="8"/>
      <c r="C8" s="8"/>
      <c r="D8" s="8"/>
      <c r="E8" s="8"/>
    </row>
    <row r="9" spans="1:6" x14ac:dyDescent="0.2">
      <c r="A9" s="8"/>
      <c r="B9" s="8"/>
      <c r="C9" s="8"/>
      <c r="D9" s="8"/>
      <c r="E9" s="8"/>
    </row>
    <row r="10" spans="1:6" x14ac:dyDescent="0.2">
      <c r="A10" s="8" t="s">
        <v>42</v>
      </c>
      <c r="B10" s="8"/>
      <c r="C10" s="8"/>
      <c r="D10" s="8"/>
      <c r="E10" s="8"/>
    </row>
    <row r="11" spans="1:6" x14ac:dyDescent="0.2">
      <c r="A11" s="8"/>
      <c r="B11" s="8"/>
      <c r="C11" s="8"/>
      <c r="D11" s="8"/>
      <c r="E11" s="8"/>
    </row>
    <row r="12" spans="1:6" x14ac:dyDescent="0.2">
      <c r="A12" s="8"/>
      <c r="B12" s="8"/>
      <c r="C12" s="8"/>
      <c r="D12" s="8"/>
      <c r="E12" s="8"/>
    </row>
    <row r="13" spans="1:6" x14ac:dyDescent="0.2">
      <c r="A13" s="9"/>
      <c r="B13" s="9"/>
      <c r="C13" s="9"/>
      <c r="D13" s="9"/>
      <c r="E13" s="9"/>
      <c r="F13" s="5"/>
    </row>
    <row r="14" spans="1:6" x14ac:dyDescent="0.2">
      <c r="A14" s="9"/>
      <c r="B14" s="9"/>
      <c r="C14" s="9"/>
      <c r="D14" s="9"/>
      <c r="E14" s="9"/>
      <c r="F14" s="5"/>
    </row>
    <row r="15" spans="1:6" x14ac:dyDescent="0.2">
      <c r="A15" s="9"/>
      <c r="B15" s="9"/>
      <c r="C15" s="9"/>
      <c r="D15" s="9"/>
      <c r="E15" s="9"/>
      <c r="F15" s="5"/>
    </row>
    <row r="16" spans="1:6" x14ac:dyDescent="0.2">
      <c r="A16" s="5"/>
      <c r="B16" s="5"/>
      <c r="C16" s="5"/>
      <c r="D16" s="5"/>
      <c r="E16" s="5"/>
      <c r="F16" s="5"/>
    </row>
  </sheetData>
  <mergeCells count="4">
    <mergeCell ref="A1:E3"/>
    <mergeCell ref="A4:E6"/>
    <mergeCell ref="A7:E9"/>
    <mergeCell ref="A10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2894-9F7F-9A4B-8D38-F3E8AA8A8D8B}">
  <dimension ref="A1:F11"/>
  <sheetViews>
    <sheetView workbookViewId="0">
      <selection activeCell="H6" sqref="H6"/>
    </sheetView>
  </sheetViews>
  <sheetFormatPr baseColWidth="10" defaultRowHeight="16" x14ac:dyDescent="0.2"/>
  <cols>
    <col min="1" max="5" width="10.83203125" style="2"/>
    <col min="6" max="6" width="11.6640625" style="2" bestFit="1" customWidth="1"/>
    <col min="7" max="16384" width="10.83203125" style="2"/>
  </cols>
  <sheetData>
    <row r="1" spans="1:6" ht="51" x14ac:dyDescent="0.2">
      <c r="A1" s="3" t="s">
        <v>20</v>
      </c>
      <c r="B1" s="3" t="s">
        <v>21</v>
      </c>
      <c r="D1" s="1" t="s">
        <v>32</v>
      </c>
      <c r="E1" s="1" t="s">
        <v>33</v>
      </c>
      <c r="F1" s="1" t="s">
        <v>34</v>
      </c>
    </row>
    <row r="2" spans="1:6" ht="17" x14ac:dyDescent="0.2">
      <c r="A2" s="1" t="s">
        <v>22</v>
      </c>
      <c r="B2" s="1">
        <v>12</v>
      </c>
      <c r="D2" s="1" t="s">
        <v>14</v>
      </c>
      <c r="E2" s="1">
        <f>AVERAGE(B2:B11)</f>
        <v>15.6</v>
      </c>
      <c r="F2" s="1">
        <f>AVERAGE(B2:B5, B7:B11)</f>
        <v>13.111111111111111</v>
      </c>
    </row>
    <row r="3" spans="1:6" ht="17" x14ac:dyDescent="0.2">
      <c r="A3" s="1" t="s">
        <v>23</v>
      </c>
      <c r="B3" s="1">
        <v>14</v>
      </c>
      <c r="D3" s="1" t="s">
        <v>15</v>
      </c>
      <c r="E3" s="1">
        <f>MEDIAN(B2:B11)</f>
        <v>13.5</v>
      </c>
      <c r="F3" s="1">
        <f>MEDIAN(B2:B5,B7:B11)</f>
        <v>13</v>
      </c>
    </row>
    <row r="4" spans="1:6" ht="17" x14ac:dyDescent="0.2">
      <c r="A4" s="1" t="s">
        <v>24</v>
      </c>
      <c r="B4" s="1">
        <v>11</v>
      </c>
      <c r="D4" s="1" t="s">
        <v>16</v>
      </c>
      <c r="E4" s="1">
        <f>_xlfn.MODE.SNGL(B2:B13)</f>
        <v>14</v>
      </c>
      <c r="F4" s="1">
        <f>_xlfn.MODE.SNGL(B2:B5,B7:B11)</f>
        <v>14</v>
      </c>
    </row>
    <row r="5" spans="1:6" ht="17" x14ac:dyDescent="0.2">
      <c r="A5" s="1" t="s">
        <v>25</v>
      </c>
      <c r="B5" s="1">
        <v>13</v>
      </c>
      <c r="D5" s="1" t="s">
        <v>17</v>
      </c>
      <c r="E5" s="1">
        <f>MAX(B2:B13)-MIN(B2:B13)</f>
        <v>27</v>
      </c>
      <c r="F5" s="1">
        <f>MAX(B2:B5,B7:B11)-MIN(B2:B5,B7:B11)</f>
        <v>4</v>
      </c>
    </row>
    <row r="6" spans="1:6" ht="34" x14ac:dyDescent="0.2">
      <c r="A6" s="1" t="s">
        <v>26</v>
      </c>
      <c r="B6" s="1">
        <v>38</v>
      </c>
      <c r="D6" s="1" t="s">
        <v>18</v>
      </c>
      <c r="E6" s="1">
        <f>_xlfn.STDEV.S(B2:B13)</f>
        <v>7.9610161272150295</v>
      </c>
      <c r="F6" s="1">
        <f>_xlfn.STDEV.S(B2:B5,B7:B11)</f>
        <v>1.2692955176439846</v>
      </c>
    </row>
    <row r="7" spans="1:6" ht="17" x14ac:dyDescent="0.2">
      <c r="A7" s="1" t="s">
        <v>27</v>
      </c>
      <c r="B7" s="1">
        <v>15</v>
      </c>
    </row>
    <row r="8" spans="1:6" ht="17" x14ac:dyDescent="0.2">
      <c r="A8" s="1" t="s">
        <v>28</v>
      </c>
      <c r="B8" s="1">
        <v>12</v>
      </c>
    </row>
    <row r="9" spans="1:6" ht="17" x14ac:dyDescent="0.2">
      <c r="A9" s="1" t="s">
        <v>29</v>
      </c>
      <c r="B9" s="1">
        <v>14</v>
      </c>
    </row>
    <row r="10" spans="1:6" ht="17" x14ac:dyDescent="0.2">
      <c r="A10" s="1" t="s">
        <v>30</v>
      </c>
      <c r="B10" s="1">
        <v>13</v>
      </c>
    </row>
    <row r="11" spans="1:6" ht="17" x14ac:dyDescent="0.2">
      <c r="A11" s="1" t="s">
        <v>31</v>
      </c>
      <c r="B11" s="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FCE1-3510-9B47-9327-D2F8B9DF607E}">
  <dimension ref="A1:M16"/>
  <sheetViews>
    <sheetView workbookViewId="0">
      <selection activeCell="I2" sqref="I2"/>
    </sheetView>
  </sheetViews>
  <sheetFormatPr baseColWidth="10" defaultRowHeight="16" x14ac:dyDescent="0.2"/>
  <sheetData>
    <row r="1" spans="1:13" x14ac:dyDescent="0.2">
      <c r="A1" s="6" t="s">
        <v>35</v>
      </c>
      <c r="B1" s="7"/>
      <c r="C1" s="7"/>
      <c r="D1" s="7"/>
      <c r="E1" s="7"/>
      <c r="F1" s="7"/>
      <c r="G1" s="7"/>
      <c r="I1" s="4"/>
      <c r="J1" s="4"/>
      <c r="K1" s="4"/>
      <c r="L1" s="4"/>
      <c r="M1" s="4"/>
    </row>
    <row r="2" spans="1:13" x14ac:dyDescent="0.2">
      <c r="A2" s="6"/>
      <c r="B2" s="7"/>
      <c r="C2" s="7"/>
      <c r="D2" s="7"/>
      <c r="E2" s="7"/>
      <c r="F2" s="7"/>
      <c r="G2" s="7"/>
      <c r="I2" s="4"/>
      <c r="J2" s="4"/>
      <c r="K2" s="4"/>
      <c r="L2" s="4"/>
      <c r="M2" s="4"/>
    </row>
    <row r="3" spans="1:13" x14ac:dyDescent="0.2">
      <c r="A3" s="6"/>
      <c r="B3" s="7"/>
      <c r="C3" s="7"/>
      <c r="D3" s="7"/>
      <c r="E3" s="7"/>
      <c r="F3" s="7"/>
      <c r="G3" s="7"/>
      <c r="I3" s="4"/>
      <c r="J3" s="4"/>
      <c r="K3" s="4"/>
      <c r="L3" s="4"/>
      <c r="M3" s="4"/>
    </row>
    <row r="4" spans="1:13" x14ac:dyDescent="0.2">
      <c r="A4" s="6"/>
      <c r="B4" s="7"/>
      <c r="C4" s="7"/>
      <c r="D4" s="7"/>
      <c r="E4" s="7"/>
      <c r="F4" s="7"/>
      <c r="G4" s="7"/>
      <c r="I4" s="4"/>
      <c r="J4" s="4"/>
      <c r="K4" s="4"/>
      <c r="L4" s="4"/>
      <c r="M4" s="4"/>
    </row>
    <row r="5" spans="1:13" x14ac:dyDescent="0.2">
      <c r="A5" s="6" t="s">
        <v>36</v>
      </c>
      <c r="B5" s="7"/>
      <c r="C5" s="7"/>
      <c r="D5" s="7"/>
      <c r="E5" s="7"/>
      <c r="F5" s="7"/>
      <c r="G5" s="7"/>
    </row>
    <row r="6" spans="1:13" x14ac:dyDescent="0.2">
      <c r="A6" s="6"/>
      <c r="B6" s="7"/>
      <c r="C6" s="7"/>
      <c r="D6" s="7"/>
      <c r="E6" s="7"/>
      <c r="F6" s="7"/>
      <c r="G6" s="7"/>
    </row>
    <row r="7" spans="1:13" x14ac:dyDescent="0.2">
      <c r="A7" s="6"/>
      <c r="B7" s="7"/>
      <c r="C7" s="7"/>
      <c r="D7" s="7"/>
      <c r="E7" s="7"/>
      <c r="F7" s="7"/>
      <c r="G7" s="7"/>
    </row>
    <row r="8" spans="1:13" x14ac:dyDescent="0.2">
      <c r="A8" s="6"/>
      <c r="B8" s="7"/>
      <c r="C8" s="7"/>
      <c r="D8" s="7"/>
      <c r="E8" s="7"/>
      <c r="F8" s="7"/>
      <c r="G8" s="7"/>
    </row>
    <row r="9" spans="1:13" x14ac:dyDescent="0.2">
      <c r="A9" s="6" t="s">
        <v>37</v>
      </c>
      <c r="B9" s="7"/>
      <c r="C9" s="7"/>
      <c r="D9" s="7"/>
      <c r="E9" s="7"/>
      <c r="F9" s="7"/>
      <c r="G9" s="7"/>
    </row>
    <row r="10" spans="1:13" x14ac:dyDescent="0.2">
      <c r="A10" s="6"/>
      <c r="B10" s="7"/>
      <c r="C10" s="7"/>
      <c r="D10" s="7"/>
      <c r="E10" s="7"/>
      <c r="F10" s="7"/>
      <c r="G10" s="7"/>
    </row>
    <row r="11" spans="1:13" x14ac:dyDescent="0.2">
      <c r="A11" s="6"/>
      <c r="B11" s="7"/>
      <c r="C11" s="7"/>
      <c r="D11" s="7"/>
      <c r="E11" s="7"/>
      <c r="F11" s="7"/>
      <c r="G11" s="7"/>
    </row>
    <row r="12" spans="1:13" x14ac:dyDescent="0.2">
      <c r="A12" s="6"/>
      <c r="B12" s="7"/>
      <c r="C12" s="7"/>
      <c r="D12" s="7"/>
      <c r="E12" s="7"/>
      <c r="F12" s="7"/>
      <c r="G12" s="7"/>
    </row>
    <row r="13" spans="1:13" x14ac:dyDescent="0.2">
      <c r="A13" s="6" t="s">
        <v>38</v>
      </c>
      <c r="B13" s="7"/>
      <c r="C13" s="7"/>
      <c r="D13" s="7"/>
      <c r="E13" s="7"/>
      <c r="F13" s="7"/>
      <c r="G13" s="7"/>
    </row>
    <row r="14" spans="1:13" x14ac:dyDescent="0.2">
      <c r="A14" s="6"/>
      <c r="B14" s="7"/>
      <c r="C14" s="7"/>
      <c r="D14" s="7"/>
      <c r="E14" s="7"/>
      <c r="F14" s="7"/>
      <c r="G14" s="7"/>
    </row>
    <row r="15" spans="1:13" x14ac:dyDescent="0.2">
      <c r="A15" s="6"/>
      <c r="B15" s="7"/>
      <c r="C15" s="7"/>
      <c r="D15" s="7"/>
      <c r="E15" s="7"/>
      <c r="F15" s="7"/>
      <c r="G15" s="7"/>
    </row>
    <row r="16" spans="1:13" x14ac:dyDescent="0.2">
      <c r="A16" s="6"/>
      <c r="B16" s="7"/>
      <c r="C16" s="7"/>
      <c r="D16" s="7"/>
      <c r="E16" s="7"/>
      <c r="F16" s="7"/>
      <c r="G16" s="7"/>
    </row>
  </sheetData>
  <mergeCells count="4">
    <mergeCell ref="A9:G12"/>
    <mergeCell ref="A13:G16"/>
    <mergeCell ref="A1:G4"/>
    <mergeCell ref="A5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Store_Data</vt:lpstr>
      <vt:lpstr>Store_Summary</vt:lpstr>
      <vt:lpstr>Wait_Data</vt:lpstr>
      <vt:lpstr>Wait_Summary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Meric Çapar</dc:creator>
  <cp:lastModifiedBy>Meric Çapar</cp:lastModifiedBy>
  <dcterms:created xsi:type="dcterms:W3CDTF">2026-09-30T18:01:50Z</dcterms:created>
  <dcterms:modified xsi:type="dcterms:W3CDTF">2026-10-02T18:09:44Z</dcterms:modified>
</cp:coreProperties>
</file>