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hidePivotFieldList="1"/>
  <mc:AlternateContent xmlns:mc="http://schemas.openxmlformats.org/markup-compatibility/2006">
    <mc:Choice Requires="x15">
      <x15ac:absPath xmlns:x15ac="http://schemas.microsoft.com/office/spreadsheetml/2010/11/ac" url="/Users/mericcapar/Desktop/Yearup/DataAnalytics/week-01/"/>
    </mc:Choice>
  </mc:AlternateContent>
  <xr:revisionPtr revIDLastSave="0" documentId="13_ncr:1_{2B74E7B5-8CC9-E149-9F13-5071E54B860A}" xr6:coauthVersionLast="47" xr6:coauthVersionMax="47" xr10:uidLastSave="{00000000-0000-0000-0000-000000000000}"/>
  <bookViews>
    <workbookView xWindow="0" yWindow="500" windowWidth="28800" windowHeight="13900" xr2:uid="{00000000-000D-0000-FFFF-FFFF00000000}"/>
  </bookViews>
  <sheets>
    <sheet name="Sheet2" sheetId="2" r:id="rId1"/>
    <sheet name="Sheet1" sheetId="1" r:id="rId2"/>
  </sheets>
  <calcPr calcId="191028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P7" i="1"/>
  <c r="L7" i="1"/>
  <c r="K7" i="1"/>
  <c r="J7" i="1"/>
  <c r="I7" i="1"/>
  <c r="H7" i="1"/>
  <c r="D2" i="1"/>
  <c r="D7" i="1" s="1"/>
  <c r="D3" i="1"/>
  <c r="D4" i="1"/>
  <c r="D5" i="1"/>
</calcChain>
</file>

<file path=xl/sharedStrings.xml><?xml version="1.0" encoding="utf-8"?>
<sst xmlns="http://schemas.openxmlformats.org/spreadsheetml/2006/main" count="44" uniqueCount="33">
  <si>
    <t>Id</t>
  </si>
  <si>
    <t>Start time</t>
  </si>
  <si>
    <t>Completion time</t>
  </si>
  <si>
    <t>Email</t>
  </si>
  <si>
    <t>Name</t>
  </si>
  <si>
    <t>How often do you visit Nahita Bakery?</t>
  </si>
  <si>
    <t>How would your rate your overall experience today?</t>
  </si>
  <si>
    <t>How would you rate the following?.Food Quality</t>
  </si>
  <si>
    <t>How would you rate the following?.Service</t>
  </si>
  <si>
    <t>How would you rate the following?.Cleanliness</t>
  </si>
  <si>
    <t>How would you rate the following?.Value for Money</t>
  </si>
  <si>
    <t>What is one thing we could improve?</t>
  </si>
  <si>
    <t>Would you join a Nahita rewards program?</t>
  </si>
  <si>
    <t>Which rewards would interest you most?</t>
  </si>
  <si>
    <t>How likely are you to recommend us to a friend?</t>
  </si>
  <si>
    <t>Want to hear about our rewards program? Leave your email (optional).</t>
  </si>
  <si>
    <t>anonymous</t>
  </si>
  <si>
    <t>First time</t>
  </si>
  <si>
    <t>haven't been there but discount program for students.</t>
  </si>
  <si>
    <t>Yes</t>
  </si>
  <si>
    <t>Discount after multiple visits</t>
  </si>
  <si>
    <t>Weekly</t>
  </si>
  <si>
    <t>better prices</t>
  </si>
  <si>
    <t>Free Turkish Tea or Turkish Coffee</t>
  </si>
  <si>
    <t>N/A</t>
  </si>
  <si>
    <t>abc@gmail.com</t>
  </si>
  <si>
    <t>More menu options</t>
  </si>
  <si>
    <t>Maybe</t>
  </si>
  <si>
    <t>Time to Complete</t>
  </si>
  <si>
    <t>Average time to complete:</t>
  </si>
  <si>
    <t>Row Labels</t>
  </si>
  <si>
    <t>Grand Total</t>
  </si>
  <si>
    <t>Sum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</si>
</sst>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/mm\/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5" fontId="0" fillId="0" borderId="0" xfId="0" applyNumberFormat="1"/>
    <xf numFmtId="0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165" formatCode="d\/mm\/yyyy\ hh:mm"/>
    </dxf>
    <dxf>
      <numFmt numFmtId="165" formatCode="d\/mm\/yyyy\ hh:mm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[Exercise_5B.xlsx]Sheet2!PivotTable1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Which rewards interest our customers most?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Discount after multiple visits</c:v>
                </c:pt>
                <c:pt idx="1">
                  <c:v>Free Turkish Tea or Turkish Coffee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4-C148-8C61-13B76B012C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2</xdr:row>
      <xdr:rowOff>101600</xdr:rowOff>
    </xdr:from>
    <xdr:to>
      <xdr:col>9</xdr:col>
      <xdr:colOff>355600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358FC-7C86-08C6-510D-A9A1CA273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ic Capar" refreshedDate="46314.419189930559" createdVersion="8" refreshedVersion="8" minRefreshableVersion="3" recordCount="4" xr:uid="{BF182A76-961B-4043-B148-0D306AD8DF35}">
  <cacheSource type="worksheet">
    <worksheetSource name="OfficeForms.Table"/>
  </cacheSource>
  <cacheFields count="17">
    <cacheField name="Id" numFmtId="0">
      <sharedItems containsSemiMixedTypes="0" containsString="0" containsNumber="1" containsInteger="1" minValue="1" maxValue="4"/>
    </cacheField>
    <cacheField name="Start time" numFmtId="165">
      <sharedItems containsSemiMixedTypes="0" containsNonDate="0" containsDate="1" containsString="0" minDate="2026-10-18T16:05:01" maxDate="2026-10-18T21:29:25"/>
    </cacheField>
    <cacheField name="Completion time" numFmtId="165">
      <sharedItems containsSemiMixedTypes="0" containsNonDate="0" containsDate="1" containsString="0" minDate="2026-10-18T16:06:32" maxDate="2026-10-18T21:30:18"/>
    </cacheField>
    <cacheField name="Time to Complete" numFmtId="45">
      <sharedItems containsSemiMixedTypes="0" containsNonDate="0" containsDate="1" containsString="0" minDate="1899-12-30T00:00:53" maxDate="1899-12-30T00:05:07"/>
    </cacheField>
    <cacheField name="Email" numFmtId="0">
      <sharedItems/>
    </cacheField>
    <cacheField name="Name" numFmtId="0">
      <sharedItems containsNonDate="0" containsString="0" containsBlank="1"/>
    </cacheField>
    <cacheField name="How often do you visit Nahita Bakery?" numFmtId="0">
      <sharedItems/>
    </cacheField>
    <cacheField name="How would your rate your overall experience today?" numFmtId="2">
      <sharedItems containsSemiMixedTypes="0" containsString="0" containsNumber="1" containsInteger="1" minValue="4" maxValue="5"/>
    </cacheField>
    <cacheField name="How would you rate the following?.Food Quality" numFmtId="0">
      <sharedItems containsSemiMixedTypes="0" containsString="0" containsNumber="1" containsInteger="1" minValue="2" maxValue="5"/>
    </cacheField>
    <cacheField name="How would you rate the following?.Service" numFmtId="0">
      <sharedItems containsSemiMixedTypes="0" containsString="0" containsNumber="1" containsInteger="1" minValue="2" maxValue="5"/>
    </cacheField>
    <cacheField name="How would you rate the following?.Cleanliness" numFmtId="0">
      <sharedItems containsSemiMixedTypes="0" containsString="0" containsNumber="1" containsInteger="1" minValue="2" maxValue="5"/>
    </cacheField>
    <cacheField name="How would you rate the following?.Value for Money" numFmtId="0">
      <sharedItems containsSemiMixedTypes="0" containsString="0" containsNumber="1" containsInteger="1" minValue="2" maxValue="4"/>
    </cacheField>
    <cacheField name="What is one thing we could improve?" numFmtId="0">
      <sharedItems/>
    </cacheField>
    <cacheField name="Would you join a Nahita rewards program?" numFmtId="0">
      <sharedItems/>
    </cacheField>
    <cacheField name="Which rewards would interest you most?" numFmtId="0">
      <sharedItems count="2">
        <s v="Discount after multiple visits"/>
        <s v="Free Turkish Tea or Turkish Coffee"/>
      </sharedItems>
    </cacheField>
    <cacheField name="How likely are you to recommend us to a friend?" numFmtId="0">
      <sharedItems containsSemiMixedTypes="0" containsString="0" containsNumber="1" containsInteger="1" minValue="5" maxValue="10"/>
    </cacheField>
    <cacheField name="Want to hear about our rewards program? Leave your email (optional)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d v="2026-10-18T16:05:01"/>
    <d v="2026-10-18T16:06:32"/>
    <d v="1899-12-30T00:01:31"/>
    <s v="anonymous"/>
    <m/>
    <s v="First time"/>
    <n v="5"/>
    <n v="5"/>
    <n v="5"/>
    <n v="5"/>
    <n v="4"/>
    <s v="haven't been there but discount program for students."/>
    <s v="Yes"/>
    <x v="0"/>
    <n v="5"/>
    <m/>
  </r>
  <r>
    <n v="2"/>
    <d v="2026-10-18T19:20:31"/>
    <d v="2026-10-18T19:25:38"/>
    <d v="1899-12-30T00:05:07"/>
    <s v="anonymous"/>
    <m/>
    <s v="Weekly"/>
    <n v="5"/>
    <n v="5"/>
    <n v="5"/>
    <n v="5"/>
    <n v="4"/>
    <s v="better prices"/>
    <s v="Yes"/>
    <x v="1"/>
    <n v="10"/>
    <m/>
  </r>
  <r>
    <n v="3"/>
    <d v="2026-10-18T20:49:56"/>
    <d v="2026-10-18T20:51:27"/>
    <d v="1899-12-30T00:01:31"/>
    <s v="anonymous"/>
    <m/>
    <s v="Weekly"/>
    <n v="4"/>
    <n v="4"/>
    <n v="4"/>
    <n v="4"/>
    <n v="3"/>
    <s v="N/A"/>
    <s v="Yes"/>
    <x v="0"/>
    <n v="8"/>
    <s v="abc@gmail.com"/>
  </r>
  <r>
    <n v="4"/>
    <d v="2026-10-18T21:29:25"/>
    <d v="2026-10-18T21:30:18"/>
    <d v="1899-12-30T00:00:53"/>
    <s v="anonymous"/>
    <m/>
    <s v="First time"/>
    <n v="4"/>
    <n v="2"/>
    <n v="2"/>
    <n v="2"/>
    <n v="2"/>
    <s v="More menu options"/>
    <s v="Maybe"/>
    <x v="1"/>
    <n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75542-BFAA-8647-A29A-25989D00435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7">
    <pivotField dataField="1" showAll="0"/>
    <pivotField numFmtId="165" showAll="0"/>
    <pivotField numFmtId="165" showAll="0"/>
    <pivotField numFmtId="45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Q5" totalsRowShown="0">
  <autoFilter ref="A1:Q5" xr:uid="{00000000-0009-0000-0100-000001000000}"/>
  <tableColumns count="17">
    <tableColumn id="1" xr3:uid="{00000000-0010-0000-0000-000001000000}" name="Id" data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8">
      <extLst>
        <ext xmlns:xlmsforms="http://schemas.microsoft.com/office/spreadsheetml/2023/msForms" uri="{FCC71383-01E1-4257-9335-427F07BE8D7F}">
          <xlmsforms:question id="submitDate"/>
        </ext>
      </extLst>
    </tableColumn>
    <tableColumn id="17" xr3:uid="{81561950-C7CF-0C45-B101-5E597B57EA28}" name="Time to Complete" dataDxfId="15">
      <calculatedColumnFormula>C2-B2</calculatedColumnFormula>
    </tableColumn>
    <tableColumn id="4" xr3:uid="{00000000-0010-0000-0000-000004000000}" name="Email" dataDxfId="1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Nahita Bakery?" dataDxfId="6">
      <extLst>
        <ext xmlns:xlmsforms="http://schemas.microsoft.com/office/spreadsheetml/2023/msForms" uri="{FCC71383-01E1-4257-9335-427F07BE8D7F}">
          <xlmsforms:question id="r4baa46c000cd47c5ac3f9fff9ccc1869"/>
        </ext>
      </extLst>
    </tableColumn>
    <tableColumn id="7" xr3:uid="{00000000-0010-0000-0000-000007000000}" name="How would your rate your overall experience today?" dataDxfId="5">
      <extLst>
        <ext xmlns:xlmsforms="http://schemas.microsoft.com/office/spreadsheetml/2023/msForms" uri="{FCC71383-01E1-4257-9335-427F07BE8D7F}">
          <xlmsforms:question id="r9ce2903a6138457dbfe708c84339027d"/>
        </ext>
      </extLst>
    </tableColumn>
    <tableColumn id="8" xr3:uid="{00000000-0010-0000-0000-000008000000}" name="How would you rate the following?.Food Quality" dataDxfId="4">
      <extLst>
        <ext xmlns:xlmsforms="http://schemas.microsoft.com/office/spreadsheetml/2023/msForms" uri="{FCC71383-01E1-4257-9335-427F07BE8D7F}">
          <xlmsforms:question id="r271fed81b7a74123a124813d7e458ea0"/>
        </ext>
      </extLst>
    </tableColumn>
    <tableColumn id="9" xr3:uid="{00000000-0010-0000-0000-000009000000}" name="How would you rate the following?.Service" dataDxfId="3">
      <extLst>
        <ext xmlns:xlmsforms="http://schemas.microsoft.com/office/spreadsheetml/2023/msForms" uri="{FCC71383-01E1-4257-9335-427F07BE8D7F}">
          <xlmsforms:question id="r30c6744c3c6e4c6cb88283ef71b829d5"/>
        </ext>
      </extLst>
    </tableColumn>
    <tableColumn id="10" xr3:uid="{00000000-0010-0000-0000-00000A000000}" name="How would you rate the following?.Cleanliness" dataDxfId="2">
      <extLst>
        <ext xmlns:xlmsforms="http://schemas.microsoft.com/office/spreadsheetml/2023/msForms" uri="{FCC71383-01E1-4257-9335-427F07BE8D7F}">
          <xlmsforms:question id="rf0e3a9d123ab4f90954fdb9360f059e3"/>
        </ext>
      </extLst>
    </tableColumn>
    <tableColumn id="11" xr3:uid="{00000000-0010-0000-0000-00000B000000}" name="How would you rate the following?.Value for Money" dataDxfId="0">
      <extLst>
        <ext xmlns:xlmsforms="http://schemas.microsoft.com/office/spreadsheetml/2023/msForms" uri="{FCC71383-01E1-4257-9335-427F07BE8D7F}">
          <xlmsforms:question id="rfca0ee8877744b6b974c1d845400cdf7"/>
        </ext>
      </extLst>
    </tableColumn>
    <tableColumn id="12" xr3:uid="{00000000-0010-0000-0000-00000C000000}" name="What is one thing we could improve?" dataDxfId="1">
      <extLst>
        <ext xmlns:xlmsforms="http://schemas.microsoft.com/office/spreadsheetml/2023/msForms" uri="{FCC71383-01E1-4257-9335-427F07BE8D7F}">
          <xlmsforms:question id="r6d5b42af3621407e8ff35901541b90d9"/>
        </ext>
      </extLst>
    </tableColumn>
    <tableColumn id="13" xr3:uid="{00000000-0010-0000-0000-00000D000000}" name="Would you join a Nahita rewards program?" dataDxfId="12">
      <extLst>
        <ext xmlns:xlmsforms="http://schemas.microsoft.com/office/spreadsheetml/2023/msForms" uri="{FCC71383-01E1-4257-9335-427F07BE8D7F}">
          <xlmsforms:question id="r378e4c4892d84bdb80cbc06f85322744"/>
        </ext>
      </extLst>
    </tableColumn>
    <tableColumn id="14" xr3:uid="{00000000-0010-0000-0000-00000E000000}" name="Which rewards would interest you most?" dataDxfId="11">
      <extLst>
        <ext xmlns:xlmsforms="http://schemas.microsoft.com/office/spreadsheetml/2023/msForms" uri="{FCC71383-01E1-4257-9335-427F07BE8D7F}">
          <xlmsforms:question id="rc04fe1c5bd2646fda1d893bc3fe4547b"/>
        </ext>
      </extLst>
    </tableColumn>
    <tableColumn id="15" xr3:uid="{00000000-0010-0000-0000-00000F000000}" name="How likely are you to recommend us to a friend?" dataDxfId="10">
      <extLst>
        <ext xmlns:xlmsforms="http://schemas.microsoft.com/office/spreadsheetml/2023/msForms" uri="{FCC71383-01E1-4257-9335-427F07BE8D7F}">
          <xlmsforms:question id="rec0d990cdb4442bc916797d707c22f26"/>
        </ext>
      </extLst>
    </tableColumn>
    <tableColumn id="16" xr3:uid="{00000000-0010-0000-0000-000010000000}" name="Want to hear about our rewards program? Leave your email (optional)." dataDxfId="9">
      <extLst>
        <ext xmlns:xlmsforms="http://schemas.microsoft.com/office/spreadsheetml/2023/msForms" uri="{FCC71383-01E1-4257-9335-427F07BE8D7F}">
          <xlmsforms:question id="r407deb633123407790de81087e8ebdc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70JkRvuEwNIrPxC-qFcs9tUQkpZQ0c4UjZEMkhIVE9WTVFXUzU5TUczQS4u" isFormConnected="1" maxResponseId="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r4baa46c000cd47c5ac3f9fff9ccc1869</xlmsforms:syncedQuestionId>
        <xlmsforms:syncedQuestionId>r9ce2903a6138457dbfe708c84339027d</xlmsforms:syncedQuestionId>
        <xlmsforms:syncedQuestionId>r271fed81b7a74123a124813d7e458ea0</xlmsforms:syncedQuestionId>
        <xlmsforms:syncedQuestionId>r30c6744c3c6e4c6cb88283ef71b829d5</xlmsforms:syncedQuestionId>
        <xlmsforms:syncedQuestionId>rf0e3a9d123ab4f90954fdb9360f059e3</xlmsforms:syncedQuestionId>
        <xlmsforms:syncedQuestionId>rfca0ee8877744b6b974c1d845400cdf7</xlmsforms:syncedQuestionId>
        <xlmsforms:syncedQuestionId>r6d5b42af3621407e8ff35901541b90d9</xlmsforms:syncedQuestionId>
        <xlmsforms:syncedQuestionId>r378e4c4892d84bdb80cbc06f85322744</xlmsforms:syncedQuestionId>
        <xlmsforms:syncedQuestionId>rc04fe1c5bd2646fda1d893bc3fe4547b</xlmsforms:syncedQuestionId>
        <xlmsforms:syncedQuestionId>rec0d990cdb4442bc916797d707c22f26</xlmsforms:syncedQuestionId>
        <xlmsforms:syncedQuestionId>r407deb633123407790de81087e8ebdc4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508C-0B62-6A4F-86E8-901A646968A1}">
  <dimension ref="A3:B6"/>
  <sheetViews>
    <sheetView tabSelected="1" workbookViewId="0">
      <selection activeCell="L14" sqref="L14"/>
    </sheetView>
  </sheetViews>
  <sheetFormatPr baseColWidth="10" defaultRowHeight="15" x14ac:dyDescent="0.2"/>
  <cols>
    <col min="1" max="1" width="26.1640625" bestFit="1" customWidth="1"/>
    <col min="2" max="2" width="8.1640625" bestFit="1" customWidth="1"/>
  </cols>
  <sheetData>
    <row r="3" spans="1:2" x14ac:dyDescent="0.2">
      <c r="A3" s="6" t="s">
        <v>30</v>
      </c>
      <c r="B3" t="s">
        <v>32</v>
      </c>
    </row>
    <row r="4" spans="1:2" x14ac:dyDescent="0.2">
      <c r="A4" s="7" t="s">
        <v>20</v>
      </c>
      <c r="B4" s="2">
        <v>4</v>
      </c>
    </row>
    <row r="5" spans="1:2" x14ac:dyDescent="0.2">
      <c r="A5" s="7" t="s">
        <v>23</v>
      </c>
      <c r="B5" s="2">
        <v>6</v>
      </c>
    </row>
    <row r="6" spans="1:2" x14ac:dyDescent="0.2">
      <c r="A6" s="7" t="s">
        <v>31</v>
      </c>
      <c r="B6" s="2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selection activeCell="C2" sqref="C2"/>
    </sheetView>
  </sheetViews>
  <sheetFormatPr baseColWidth="10" defaultColWidth="8.83203125" defaultRowHeight="15" x14ac:dyDescent="0.2"/>
  <cols>
    <col min="1" max="3" width="20" bestFit="1" customWidth="1"/>
    <col min="4" max="4" width="20" customWidth="1"/>
    <col min="5" max="17" width="20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1</v>
      </c>
      <c r="B2" s="3">
        <v>46313.67015046296</v>
      </c>
      <c r="C2" s="3">
        <v>46313.671203703707</v>
      </c>
      <c r="D2" s="1">
        <f t="shared" ref="D2:D5" si="0">C2-B2</f>
        <v>1.0532407468417659E-3</v>
      </c>
      <c r="E2" t="s">
        <v>16</v>
      </c>
      <c r="G2" t="s">
        <v>17</v>
      </c>
      <c r="H2" s="4">
        <v>5</v>
      </c>
      <c r="I2" s="5">
        <v>5</v>
      </c>
      <c r="J2" s="5">
        <v>5</v>
      </c>
      <c r="K2" s="5">
        <v>5</v>
      </c>
      <c r="L2" s="5">
        <v>4</v>
      </c>
      <c r="M2" t="s">
        <v>18</v>
      </c>
      <c r="N2" t="s">
        <v>19</v>
      </c>
      <c r="O2" t="s">
        <v>20</v>
      </c>
      <c r="P2">
        <v>5</v>
      </c>
    </row>
    <row r="3" spans="1:17" x14ac:dyDescent="0.2">
      <c r="A3">
        <v>2</v>
      </c>
      <c r="B3" s="3">
        <v>46313.805914351855</v>
      </c>
      <c r="C3" s="3">
        <v>46313.809467592589</v>
      </c>
      <c r="D3" s="1">
        <f t="shared" si="0"/>
        <v>3.5532407346181571E-3</v>
      </c>
      <c r="E3" t="s">
        <v>16</v>
      </c>
      <c r="G3" t="s">
        <v>21</v>
      </c>
      <c r="H3" s="4">
        <v>5</v>
      </c>
      <c r="I3" s="5">
        <v>5</v>
      </c>
      <c r="J3" s="5">
        <v>5</v>
      </c>
      <c r="K3" s="5">
        <v>5</v>
      </c>
      <c r="L3" s="5">
        <v>4</v>
      </c>
      <c r="M3" t="s">
        <v>22</v>
      </c>
      <c r="N3" t="s">
        <v>19</v>
      </c>
      <c r="O3" t="s">
        <v>23</v>
      </c>
      <c r="P3">
        <v>10</v>
      </c>
    </row>
    <row r="4" spans="1:17" x14ac:dyDescent="0.2">
      <c r="A4">
        <v>3</v>
      </c>
      <c r="B4" s="3">
        <v>46313.868009259262</v>
      </c>
      <c r="C4" s="3">
        <v>46313.869062500002</v>
      </c>
      <c r="D4" s="1">
        <f t="shared" si="0"/>
        <v>1.0532407395658083E-3</v>
      </c>
      <c r="E4" t="s">
        <v>16</v>
      </c>
      <c r="G4" t="s">
        <v>21</v>
      </c>
      <c r="H4" s="4">
        <v>4</v>
      </c>
      <c r="I4" s="5">
        <v>4</v>
      </c>
      <c r="J4" s="5">
        <v>4</v>
      </c>
      <c r="K4" s="5">
        <v>4</v>
      </c>
      <c r="L4" s="5">
        <v>3</v>
      </c>
      <c r="M4" t="s">
        <v>24</v>
      </c>
      <c r="N4" t="s">
        <v>19</v>
      </c>
      <c r="O4" t="s">
        <v>20</v>
      </c>
      <c r="P4">
        <v>8</v>
      </c>
      <c r="Q4" t="s">
        <v>25</v>
      </c>
    </row>
    <row r="5" spans="1:17" x14ac:dyDescent="0.2">
      <c r="A5">
        <v>4</v>
      </c>
      <c r="B5" s="3">
        <v>46313.895428240743</v>
      </c>
      <c r="C5" s="3">
        <v>46313.896041666667</v>
      </c>
      <c r="D5" s="1">
        <f t="shared" si="0"/>
        <v>6.1342592380242422E-4</v>
      </c>
      <c r="E5" t="s">
        <v>16</v>
      </c>
      <c r="G5" t="s">
        <v>17</v>
      </c>
      <c r="H5" s="4">
        <v>4</v>
      </c>
      <c r="I5" s="5">
        <v>2</v>
      </c>
      <c r="J5" s="5">
        <v>2</v>
      </c>
      <c r="K5" s="5">
        <v>2</v>
      </c>
      <c r="L5" s="5">
        <v>2</v>
      </c>
      <c r="M5" t="s">
        <v>26</v>
      </c>
      <c r="N5" t="s">
        <v>27</v>
      </c>
      <c r="O5" t="s">
        <v>23</v>
      </c>
      <c r="P5">
        <v>6</v>
      </c>
    </row>
    <row r="7" spans="1:17" x14ac:dyDescent="0.2">
      <c r="C7" t="s">
        <v>29</v>
      </c>
      <c r="D7" s="1">
        <f>AVERAGE(D2:D5)</f>
        <v>1.5682870362070389E-3</v>
      </c>
      <c r="H7">
        <f>AVERAGE(H2:H5)</f>
        <v>4.5</v>
      </c>
      <c r="I7" s="4">
        <f>AVERAGE(I2:I5)</f>
        <v>4</v>
      </c>
      <c r="J7">
        <f>AVERAGE(J2:J5)</f>
        <v>4</v>
      </c>
      <c r="K7" s="4">
        <f>AVERAGE(K2:K5)</f>
        <v>4</v>
      </c>
      <c r="L7" s="4">
        <f>AVERAGE(L2:L5)</f>
        <v>3.25</v>
      </c>
      <c r="N7">
        <f>SUM(COUNTIF(N2:N5,"Yes"),COUNTIF(N2:N5,"Maybe"))</f>
        <v>4</v>
      </c>
      <c r="P7">
        <f>AVERAGE(P2:P5)</f>
        <v>7.25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meric capar</cp:lastModifiedBy>
  <cp:revision/>
  <dcterms:created xsi:type="dcterms:W3CDTF">2026-10-19T16:52:35Z</dcterms:created>
  <dcterms:modified xsi:type="dcterms:W3CDTF">2026-10-19T17:07:57Z</dcterms:modified>
  <cp:category/>
  <cp:contentStatus/>
</cp:coreProperties>
</file>