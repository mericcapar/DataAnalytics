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iccapar/Desktop/Yearup/DataAnalytics/week-01/"/>
    </mc:Choice>
  </mc:AlternateContent>
  <xr:revisionPtr revIDLastSave="0" documentId="13_ncr:1_{9E8F007B-BCA9-EC40-94A9-D510B17B7AF1}" xr6:coauthVersionLast="47" xr6:coauthVersionMax="47" xr10:uidLastSave="{00000000-0000-0000-0000-000000000000}"/>
  <bookViews>
    <workbookView xWindow="380" yWindow="500" windowWidth="28040" windowHeight="16940" activeTab="2" xr2:uid="{6539F881-B92A-9B46-84C7-90E8319FEFF4}"/>
  </bookViews>
  <sheets>
    <sheet name="by search term" sheetId="1" r:id="rId1"/>
    <sheet name="by state" sheetId="3" r:id="rId2"/>
    <sheet name="sales_region_lookup" sheetId="4" r:id="rId3"/>
  </sheets>
  <definedNames>
    <definedName name="_xlnm._FilterDatabase" localSheetId="0" hidden="1">'by search term'!$A$1:$E$1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H1" i="1"/>
</calcChain>
</file>

<file path=xl/sharedStrings.xml><?xml version="1.0" encoding="utf-8"?>
<sst xmlns="http://schemas.openxmlformats.org/spreadsheetml/2006/main" count="150" uniqueCount="67">
  <si>
    <t>Region</t>
  </si>
  <si>
    <t>North Carolina</t>
  </si>
  <si>
    <t>South Carolina</t>
  </si>
  <si>
    <t>Alabama</t>
  </si>
  <si>
    <t>Tennessee</t>
  </si>
  <si>
    <t>Ohio</t>
  </si>
  <si>
    <t>Kentucky</t>
  </si>
  <si>
    <t>Indiana</t>
  </si>
  <si>
    <t>Georgia</t>
  </si>
  <si>
    <t>West Virginia</t>
  </si>
  <si>
    <t>Utah</t>
  </si>
  <si>
    <t>Illinois</t>
  </si>
  <si>
    <t>Delaware</t>
  </si>
  <si>
    <t>Oklahoma</t>
  </si>
  <si>
    <t>Nevada</t>
  </si>
  <si>
    <t>Arkansas</t>
  </si>
  <si>
    <t>Kansas</t>
  </si>
  <si>
    <t>Michigan</t>
  </si>
  <si>
    <t>Arizona</t>
  </si>
  <si>
    <t>Rhode Island</t>
  </si>
  <si>
    <t>Maryland</t>
  </si>
  <si>
    <t>Virginia</t>
  </si>
  <si>
    <t>Florida</t>
  </si>
  <si>
    <t>Connecticut</t>
  </si>
  <si>
    <t>Mississippi</t>
  </si>
  <si>
    <t>New Jersey</t>
  </si>
  <si>
    <t>Idaho</t>
  </si>
  <si>
    <t>Missouri</t>
  </si>
  <si>
    <t>Minnesota</t>
  </si>
  <si>
    <t>Wisconsin</t>
  </si>
  <si>
    <t>Iowa</t>
  </si>
  <si>
    <t>Nebraska</t>
  </si>
  <si>
    <t>New Hampshire</t>
  </si>
  <si>
    <t>New York</t>
  </si>
  <si>
    <t>Louisiana</t>
  </si>
  <si>
    <t>Oregon</t>
  </si>
  <si>
    <t>Colorado</t>
  </si>
  <si>
    <t>Washington</t>
  </si>
  <si>
    <t>New Mexico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</si>
  <si>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</si>
  <si>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</si>
  <si>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</si>
  <si>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</si>
  <si>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</si>
  <si>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</si>
  <si>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</si>
  <si>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</si>
  <si>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</si>
  <si>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Regions:</t>
  </si>
  <si>
    <t>North Dakota</t>
  </si>
  <si>
    <t>California</t>
  </si>
  <si>
    <t>Pennsylvania</t>
  </si>
  <si>
    <t>Texas</t>
  </si>
  <si>
    <t>RegionID</t>
  </si>
  <si>
    <t>date range</t>
  </si>
  <si>
    <t>1.02.2024 - 28.02.2025</t>
  </si>
  <si>
    <t>Hamburger</t>
  </si>
  <si>
    <t>Milkshake</t>
  </si>
  <si>
    <t>Breakup</t>
  </si>
  <si>
    <t>State:</t>
  </si>
  <si>
    <t>Sales Region</t>
  </si>
  <si>
    <t>Northwest</t>
  </si>
  <si>
    <t>North Central</t>
  </si>
  <si>
    <t>Row Labels</t>
  </si>
  <si>
    <t>Grand Total</t>
  </si>
  <si>
    <t>Sum of Milkshake</t>
  </si>
  <si>
    <t>Sum of Hamburger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</si>
</sst>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 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  <xf numFmtId="0" fontId="0" fillId="34" borderId="0" xfId="0" applyFill="1"/>
    <xf numFmtId="9" fontId="0" fillId="0" borderId="0" xfId="42" applyFont="1"/>
    <xf numFmtId="9" fontId="18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[Ex4C_Gtrends_marketing.xlsx]sales_region_lookup!PivotTable1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sales_region_lookup!$B$15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sales_region_lookup!$A$16:$A$22</c:f>
              <c:strCache>
                <c:ptCount val="6"/>
                <c:pt idx="0">
                  <c:v>Michigan</c:v>
                </c:pt>
                <c:pt idx="1">
                  <c:v>Minnesota</c:v>
                </c:pt>
                <c:pt idx="2">
                  <c:v>Nebraska</c:v>
                </c:pt>
                <c:pt idx="3">
                  <c:v>North Dakota</c:v>
                </c:pt>
                <c:pt idx="4">
                  <c:v>South Dakota</c:v>
                </c:pt>
                <c:pt idx="5">
                  <c:v>Wisconsin</c:v>
                </c:pt>
              </c:strCache>
            </c:strRef>
          </c:cat>
          <c:val>
            <c:numRef>
              <c:f>sales_region_lookup!$B$16:$B$22</c:f>
              <c:numCache>
                <c:formatCode>0%</c:formatCode>
                <c:ptCount val="6"/>
                <c:pt idx="0">
                  <c:v>0.65</c:v>
                </c:pt>
                <c:pt idx="1">
                  <c:v>0.68</c:v>
                </c:pt>
                <c:pt idx="2">
                  <c:v>0.69</c:v>
                </c:pt>
                <c:pt idx="3">
                  <c:v>0.69</c:v>
                </c:pt>
                <c:pt idx="4">
                  <c:v>0.76</c:v>
                </c:pt>
                <c:pt idx="5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C-674A-B922-AB9E244DAB7D}"/>
            </c:ext>
          </c:extLst>
        </c:ser>
        <c:ser>
          <c:idx val="1"/>
          <c:order val="1"/>
          <c:tx>
            <c:strRef>
              <c:f>sales_region_lookup!$C$15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sales_region_lookup!$A$16:$A$22</c:f>
              <c:strCache>
                <c:ptCount val="6"/>
                <c:pt idx="0">
                  <c:v>Michigan</c:v>
                </c:pt>
                <c:pt idx="1">
                  <c:v>Minnesota</c:v>
                </c:pt>
                <c:pt idx="2">
                  <c:v>Nebraska</c:v>
                </c:pt>
                <c:pt idx="3">
                  <c:v>North Dakota</c:v>
                </c:pt>
                <c:pt idx="4">
                  <c:v>South Dakota</c:v>
                </c:pt>
                <c:pt idx="5">
                  <c:v>Wisconsin</c:v>
                </c:pt>
              </c:strCache>
            </c:strRef>
          </c:cat>
          <c:val>
            <c:numRef>
              <c:f>sales_region_lookup!$C$16:$C$22</c:f>
              <c:numCache>
                <c:formatCode>0%</c:formatCode>
                <c:ptCount val="6"/>
                <c:pt idx="0">
                  <c:v>0.2</c:v>
                </c:pt>
                <c:pt idx="1">
                  <c:v>0.19</c:v>
                </c:pt>
                <c:pt idx="2">
                  <c:v>0.18</c:v>
                </c:pt>
                <c:pt idx="3">
                  <c:v>0.19</c:v>
                </c:pt>
                <c:pt idx="4">
                  <c:v>0.14000000000000001</c:v>
                </c:pt>
                <c:pt idx="5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6C-674A-B922-AB9E244DA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79983"/>
        <c:axId val="71793199"/>
      </c:barChart>
      <c:catAx>
        <c:axId val="7227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71793199"/>
        <c:crosses val="autoZero"/>
        <c:auto val="1"/>
        <c:lblAlgn val="ctr"/>
        <c:lblOffset val="100"/>
        <c:noMultiLvlLbl val="0"/>
      </c:catAx>
      <c:valAx>
        <c:axId val="717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7227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12</xdr:row>
      <xdr:rowOff>0</xdr:rowOff>
    </xdr:from>
    <xdr:to>
      <xdr:col>10</xdr:col>
      <xdr:colOff>431800</xdr:colOff>
      <xdr:row>27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9A52C-EC81-E982-4A48-31458B7F5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ic Capar" refreshedDate="46310.834550694446" createdVersion="8" refreshedVersion="8" minRefreshableVersion="3" recordCount="10" xr:uid="{5E08CD37-5AEE-B247-8793-24A2F53BB1D6}">
  <cacheSource type="worksheet">
    <worksheetSource ref="A1:D11" sheet="sales_region_lookup"/>
  </cacheSource>
  <cacheFields count="4">
    <cacheField name="State: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6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8"/>
  </r>
  <r>
    <x v="2"/>
    <x v="0"/>
    <n v="0.68"/>
    <n v="0.19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69"/>
    <n v="0.18"/>
  </r>
  <r>
    <x v="7"/>
    <x v="1"/>
    <n v="0.68"/>
    <n v="0.19"/>
  </r>
  <r>
    <x v="8"/>
    <x v="1"/>
    <n v="0.66"/>
    <n v="0.19"/>
  </r>
  <r>
    <x v="9"/>
    <x v="1"/>
    <n v="0.65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ABB71-155F-4F4B-9E4D-E1052F396B8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2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dataField="1" numFmtId="9" showAll="0"/>
    <pivotField dataField="1" numFmtId="9" showAll="0"/>
  </pivotFields>
  <rowFields count="1">
    <field x="0"/>
  </rowFields>
  <rowItems count="7">
    <i>
      <x v="1"/>
    </i>
    <i>
      <x v="2"/>
    </i>
    <i>
      <x v="4"/>
    </i>
    <i>
      <x v="5"/>
    </i>
    <i>
      <x v="7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/>
    <dataField name="Sum of Milkshake" fld="3" baseField="0" baseItem="0"/>
  </dataFields>
  <formats count="3"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B740-B411-C946-B156-62D9D3635B66}">
  <dimension ref="A1:K52"/>
  <sheetViews>
    <sheetView workbookViewId="0">
      <pane ySplit="1" topLeftCell="A33" activePane="bottomLeft" state="frozen"/>
      <selection pane="bottomLeft" activeCell="C49" sqref="C49"/>
    </sheetView>
  </sheetViews>
  <sheetFormatPr baseColWidth="10" defaultRowHeight="16"/>
  <cols>
    <col min="2" max="2" width="21.6640625" customWidth="1"/>
    <col min="3" max="3" width="12.6640625" bestFit="1" customWidth="1"/>
    <col min="4" max="4" width="11.6640625" bestFit="1" customWidth="1"/>
    <col min="5" max="5" width="10.33203125" bestFit="1" customWidth="1"/>
  </cols>
  <sheetData>
    <row r="1" spans="1:11" ht="34">
      <c r="A1" t="s">
        <v>53</v>
      </c>
      <c r="B1" s="1" t="s">
        <v>0</v>
      </c>
      <c r="C1" s="1" t="s">
        <v>56</v>
      </c>
      <c r="D1" s="1" t="s">
        <v>57</v>
      </c>
      <c r="E1" s="1" t="s">
        <v>58</v>
      </c>
      <c r="G1" s="3" t="s">
        <v>48</v>
      </c>
      <c r="H1" s="4">
        <f>COUNTA(B2:B52)</f>
        <v>51</v>
      </c>
      <c r="J1" s="5" t="s">
        <v>54</v>
      </c>
      <c r="K1" s="5" t="s">
        <v>55</v>
      </c>
    </row>
    <row r="2" spans="1:11" ht="17">
      <c r="A2">
        <v>1</v>
      </c>
      <c r="B2" s="1" t="s">
        <v>3</v>
      </c>
      <c r="C2" s="2">
        <v>0.65</v>
      </c>
      <c r="D2" s="2">
        <v>0.23</v>
      </c>
      <c r="E2" s="2">
        <v>0.12</v>
      </c>
    </row>
    <row r="3" spans="1:11" ht="17">
      <c r="A3">
        <v>2</v>
      </c>
      <c r="B3" s="1" t="s">
        <v>46</v>
      </c>
      <c r="C3" s="2">
        <v>0.71</v>
      </c>
      <c r="D3" s="2">
        <v>0.15</v>
      </c>
      <c r="E3" s="2">
        <v>0.14000000000000001</v>
      </c>
    </row>
    <row r="4" spans="1:11" ht="17">
      <c r="A4">
        <v>3</v>
      </c>
      <c r="B4" s="1" t="s">
        <v>18</v>
      </c>
      <c r="C4" s="2">
        <v>0.66</v>
      </c>
      <c r="D4" s="2">
        <v>0.21</v>
      </c>
      <c r="E4" s="2">
        <v>0.13</v>
      </c>
    </row>
    <row r="5" spans="1:11" ht="17">
      <c r="A5">
        <v>4</v>
      </c>
      <c r="B5" s="1" t="s">
        <v>15</v>
      </c>
      <c r="C5" s="2">
        <v>0.68</v>
      </c>
      <c r="D5" s="2">
        <v>0.2</v>
      </c>
      <c r="E5" s="2">
        <v>0.12</v>
      </c>
    </row>
    <row r="6" spans="1:11" ht="17">
      <c r="A6">
        <v>5</v>
      </c>
      <c r="B6" s="1" t="s">
        <v>50</v>
      </c>
      <c r="C6" s="2">
        <v>0.64</v>
      </c>
      <c r="D6" s="2">
        <v>0.2</v>
      </c>
      <c r="E6" s="2">
        <v>0.16</v>
      </c>
    </row>
    <row r="7" spans="1:11" ht="17">
      <c r="A7">
        <v>6</v>
      </c>
      <c r="B7" s="1" t="s">
        <v>36</v>
      </c>
      <c r="C7" s="2">
        <v>0.68</v>
      </c>
      <c r="D7" s="2">
        <v>0.17</v>
      </c>
      <c r="E7" s="2">
        <v>0.15</v>
      </c>
    </row>
    <row r="8" spans="1:11" ht="17">
      <c r="A8">
        <v>7</v>
      </c>
      <c r="B8" s="1" t="s">
        <v>23</v>
      </c>
      <c r="C8" s="2">
        <v>0.64</v>
      </c>
      <c r="D8" s="2">
        <v>0.21</v>
      </c>
      <c r="E8" s="2">
        <v>0.15</v>
      </c>
    </row>
    <row r="9" spans="1:11" ht="17">
      <c r="A9">
        <v>8</v>
      </c>
      <c r="B9" s="1" t="s">
        <v>12</v>
      </c>
      <c r="C9" s="2">
        <v>0.6</v>
      </c>
      <c r="D9" s="2">
        <v>0.26</v>
      </c>
      <c r="E9" s="2">
        <v>0.14000000000000001</v>
      </c>
    </row>
    <row r="10" spans="1:11" ht="17">
      <c r="A10">
        <v>9</v>
      </c>
      <c r="B10" s="1" t="s">
        <v>47</v>
      </c>
      <c r="C10" s="2">
        <v>0.67</v>
      </c>
      <c r="D10" s="2">
        <v>0.17</v>
      </c>
      <c r="E10" s="2">
        <v>0.16</v>
      </c>
    </row>
    <row r="11" spans="1:11" ht="17">
      <c r="A11">
        <v>10</v>
      </c>
      <c r="B11" s="1" t="s">
        <v>22</v>
      </c>
      <c r="C11" s="2">
        <v>0.63</v>
      </c>
      <c r="D11" s="2">
        <v>0.22</v>
      </c>
      <c r="E11" s="2">
        <v>0.15</v>
      </c>
    </row>
    <row r="12" spans="1:11" ht="17">
      <c r="A12">
        <v>11</v>
      </c>
      <c r="B12" s="1" t="s">
        <v>8</v>
      </c>
      <c r="C12" s="2">
        <v>0.63</v>
      </c>
      <c r="D12" s="2">
        <v>0.23</v>
      </c>
      <c r="E12" s="2">
        <v>0.14000000000000001</v>
      </c>
    </row>
    <row r="13" spans="1:11" ht="17">
      <c r="A13">
        <v>12</v>
      </c>
      <c r="B13" s="1" t="s">
        <v>44</v>
      </c>
      <c r="C13" s="2">
        <v>0.73</v>
      </c>
      <c r="D13" s="2">
        <v>0.14000000000000001</v>
      </c>
      <c r="E13" s="2">
        <v>0.13</v>
      </c>
    </row>
    <row r="14" spans="1:11" ht="17">
      <c r="A14">
        <v>13</v>
      </c>
      <c r="B14" s="1" t="s">
        <v>26</v>
      </c>
      <c r="C14" s="2">
        <v>0.68</v>
      </c>
      <c r="D14" s="2">
        <v>0.19</v>
      </c>
      <c r="E14" s="2">
        <v>0.13</v>
      </c>
    </row>
    <row r="15" spans="1:11" ht="17">
      <c r="A15">
        <v>14</v>
      </c>
      <c r="B15" s="1" t="s">
        <v>11</v>
      </c>
      <c r="C15" s="2">
        <v>0.62</v>
      </c>
      <c r="D15" s="2">
        <v>0.23</v>
      </c>
      <c r="E15" s="2">
        <v>0.15</v>
      </c>
    </row>
    <row r="16" spans="1:11" ht="17">
      <c r="A16">
        <v>15</v>
      </c>
      <c r="B16" s="1" t="s">
        <v>7</v>
      </c>
      <c r="C16" s="2">
        <v>0.65</v>
      </c>
      <c r="D16" s="2">
        <v>0.22</v>
      </c>
      <c r="E16" s="2">
        <v>0.13</v>
      </c>
    </row>
    <row r="17" spans="1:5" ht="17">
      <c r="A17">
        <v>16</v>
      </c>
      <c r="B17" s="1" t="s">
        <v>30</v>
      </c>
      <c r="C17" s="2">
        <v>0.69</v>
      </c>
      <c r="D17" s="2">
        <v>0.19</v>
      </c>
      <c r="E17" s="2">
        <v>0.12</v>
      </c>
    </row>
    <row r="18" spans="1:5" ht="17">
      <c r="A18">
        <v>17</v>
      </c>
      <c r="B18" s="1" t="s">
        <v>16</v>
      </c>
      <c r="C18" s="2">
        <v>0.65</v>
      </c>
      <c r="D18" s="2">
        <v>0.2</v>
      </c>
      <c r="E18" s="2">
        <v>0.15</v>
      </c>
    </row>
    <row r="19" spans="1:5" ht="17">
      <c r="A19">
        <v>18</v>
      </c>
      <c r="B19" s="1" t="s">
        <v>6</v>
      </c>
      <c r="C19" s="2">
        <v>0.64</v>
      </c>
      <c r="D19" s="2">
        <v>0.23</v>
      </c>
      <c r="E19" s="2">
        <v>0.13</v>
      </c>
    </row>
    <row r="20" spans="1:5" ht="17">
      <c r="A20">
        <v>19</v>
      </c>
      <c r="B20" s="1" t="s">
        <v>34</v>
      </c>
      <c r="C20" s="2">
        <v>0.67</v>
      </c>
      <c r="D20" s="2">
        <v>0.19</v>
      </c>
      <c r="E20" s="2">
        <v>0.14000000000000001</v>
      </c>
    </row>
    <row r="21" spans="1:5" ht="17">
      <c r="A21">
        <v>20</v>
      </c>
      <c r="B21" s="1" t="s">
        <v>41</v>
      </c>
      <c r="C21" s="2">
        <v>0.69</v>
      </c>
      <c r="D21" s="2">
        <v>0.18</v>
      </c>
      <c r="E21" s="2">
        <v>0.13</v>
      </c>
    </row>
    <row r="22" spans="1:5" ht="17">
      <c r="A22">
        <v>21</v>
      </c>
      <c r="B22" s="1" t="s">
        <v>20</v>
      </c>
      <c r="C22" s="2">
        <v>0.62</v>
      </c>
      <c r="D22" s="2">
        <v>0.23</v>
      </c>
      <c r="E22" s="2">
        <v>0.15</v>
      </c>
    </row>
    <row r="23" spans="1:5" ht="17">
      <c r="A23">
        <v>22</v>
      </c>
      <c r="B23" s="1" t="s">
        <v>39</v>
      </c>
      <c r="C23" s="2">
        <v>0.63</v>
      </c>
      <c r="D23" s="2">
        <v>0.2</v>
      </c>
      <c r="E23" s="2">
        <v>0.17</v>
      </c>
    </row>
    <row r="24" spans="1:5" ht="17">
      <c r="A24">
        <v>23</v>
      </c>
      <c r="B24" s="1" t="s">
        <v>17</v>
      </c>
      <c r="C24" s="2">
        <v>0.65</v>
      </c>
      <c r="D24" s="2">
        <v>0.2</v>
      </c>
      <c r="E24" s="2">
        <v>0.15</v>
      </c>
    </row>
    <row r="25" spans="1:5" ht="17">
      <c r="A25">
        <v>24</v>
      </c>
      <c r="B25" s="1" t="s">
        <v>28</v>
      </c>
      <c r="C25" s="2">
        <v>0.68</v>
      </c>
      <c r="D25" s="2">
        <v>0.19</v>
      </c>
      <c r="E25" s="2">
        <v>0.13</v>
      </c>
    </row>
    <row r="26" spans="1:5" ht="17">
      <c r="A26">
        <v>25</v>
      </c>
      <c r="B26" s="1" t="s">
        <v>24</v>
      </c>
      <c r="C26" s="2">
        <v>0.68</v>
      </c>
      <c r="D26" s="2">
        <v>0.2</v>
      </c>
      <c r="E26" s="2">
        <v>0.12</v>
      </c>
    </row>
    <row r="27" spans="1:5" ht="17">
      <c r="A27">
        <v>26</v>
      </c>
      <c r="B27" s="1" t="s">
        <v>27</v>
      </c>
      <c r="C27" s="2">
        <v>0.67</v>
      </c>
      <c r="D27" s="2">
        <v>0.19</v>
      </c>
      <c r="E27" s="2">
        <v>0.14000000000000001</v>
      </c>
    </row>
    <row r="28" spans="1:5" ht="17">
      <c r="A28">
        <v>27</v>
      </c>
      <c r="B28" s="1" t="s">
        <v>45</v>
      </c>
      <c r="C28" s="2">
        <v>0.74</v>
      </c>
      <c r="D28" s="2">
        <v>0.14000000000000001</v>
      </c>
      <c r="E28" s="2">
        <v>0.12</v>
      </c>
    </row>
    <row r="29" spans="1:5" ht="17">
      <c r="A29">
        <v>28</v>
      </c>
      <c r="B29" s="1" t="s">
        <v>31</v>
      </c>
      <c r="C29" s="2">
        <v>0.69</v>
      </c>
      <c r="D29" s="2">
        <v>0.18</v>
      </c>
      <c r="E29" s="2">
        <v>0.13</v>
      </c>
    </row>
    <row r="30" spans="1:5" ht="17">
      <c r="A30">
        <v>29</v>
      </c>
      <c r="B30" s="1" t="s">
        <v>14</v>
      </c>
      <c r="C30" s="2">
        <v>0.68</v>
      </c>
      <c r="D30" s="2">
        <v>0.2</v>
      </c>
      <c r="E30" s="2">
        <v>0.12</v>
      </c>
    </row>
    <row r="31" spans="1:5" ht="17">
      <c r="A31">
        <v>30</v>
      </c>
      <c r="B31" s="1" t="s">
        <v>32</v>
      </c>
      <c r="C31" s="2">
        <v>0.67</v>
      </c>
      <c r="D31" s="2">
        <v>0.2</v>
      </c>
      <c r="E31" s="2">
        <v>0.13</v>
      </c>
    </row>
    <row r="32" spans="1:5" ht="17">
      <c r="A32">
        <v>31</v>
      </c>
      <c r="B32" s="1" t="s">
        <v>25</v>
      </c>
      <c r="C32" s="2">
        <v>0.62</v>
      </c>
      <c r="D32" s="2">
        <v>0.23</v>
      </c>
      <c r="E32" s="2">
        <v>0.15</v>
      </c>
    </row>
    <row r="33" spans="1:5" ht="17">
      <c r="A33">
        <v>32</v>
      </c>
      <c r="B33" s="1" t="s">
        <v>38</v>
      </c>
      <c r="C33" s="2">
        <v>0.67</v>
      </c>
      <c r="D33" s="2">
        <v>0.18</v>
      </c>
      <c r="E33" s="2">
        <v>0.15</v>
      </c>
    </row>
    <row r="34" spans="1:5" ht="17">
      <c r="A34">
        <v>33</v>
      </c>
      <c r="B34" s="1" t="s">
        <v>33</v>
      </c>
      <c r="C34" s="2">
        <v>0.64</v>
      </c>
      <c r="D34" s="2">
        <v>0.2</v>
      </c>
      <c r="E34" s="2">
        <v>0.16</v>
      </c>
    </row>
    <row r="35" spans="1:5" ht="17">
      <c r="A35">
        <v>34</v>
      </c>
      <c r="B35" s="1" t="s">
        <v>1</v>
      </c>
      <c r="C35" s="2">
        <v>0.64</v>
      </c>
      <c r="D35" s="2">
        <v>0.23</v>
      </c>
      <c r="E35" s="2">
        <v>0.13</v>
      </c>
    </row>
    <row r="36" spans="1:5" ht="17">
      <c r="A36">
        <v>35</v>
      </c>
      <c r="B36" s="1" t="s">
        <v>49</v>
      </c>
      <c r="C36" s="2">
        <v>0.69</v>
      </c>
      <c r="D36" s="2">
        <v>0.19</v>
      </c>
      <c r="E36" s="2">
        <v>0.12</v>
      </c>
    </row>
    <row r="37" spans="1:5" ht="17">
      <c r="A37">
        <v>36</v>
      </c>
      <c r="B37" s="1" t="s">
        <v>5</v>
      </c>
      <c r="C37" s="2">
        <v>0.63</v>
      </c>
      <c r="D37" s="2">
        <v>0.23</v>
      </c>
      <c r="E37" s="2">
        <v>0.14000000000000001</v>
      </c>
    </row>
    <row r="38" spans="1:5" ht="17">
      <c r="A38">
        <v>37</v>
      </c>
      <c r="B38" s="1" t="s">
        <v>13</v>
      </c>
      <c r="C38" s="2">
        <v>0.68</v>
      </c>
      <c r="D38" s="2">
        <v>0.2</v>
      </c>
      <c r="E38" s="2">
        <v>0.12</v>
      </c>
    </row>
    <row r="39" spans="1:5" ht="17">
      <c r="A39">
        <v>38</v>
      </c>
      <c r="B39" s="1" t="s">
        <v>35</v>
      </c>
      <c r="C39" s="2">
        <v>0.69</v>
      </c>
      <c r="D39" s="2">
        <v>0.18</v>
      </c>
      <c r="E39" s="2">
        <v>0.13</v>
      </c>
    </row>
    <row r="40" spans="1:5">
      <c r="A40">
        <v>39</v>
      </c>
      <c r="B40" t="s">
        <v>51</v>
      </c>
      <c r="C40" s="2">
        <v>0.61</v>
      </c>
      <c r="D40" s="2">
        <v>0.24</v>
      </c>
      <c r="E40" s="2">
        <v>0.15</v>
      </c>
    </row>
    <row r="41" spans="1:5" ht="17">
      <c r="A41">
        <v>40</v>
      </c>
      <c r="B41" s="1" t="s">
        <v>19</v>
      </c>
      <c r="C41" s="2">
        <v>0.65</v>
      </c>
      <c r="D41" s="2">
        <v>0.22</v>
      </c>
      <c r="E41" s="2">
        <v>0.13</v>
      </c>
    </row>
    <row r="42" spans="1:5" ht="17">
      <c r="A42">
        <v>41</v>
      </c>
      <c r="B42" s="1" t="s">
        <v>2</v>
      </c>
      <c r="C42" s="2">
        <v>0.67</v>
      </c>
      <c r="D42" s="2">
        <v>0.22</v>
      </c>
      <c r="E42" s="2">
        <v>0.11</v>
      </c>
    </row>
    <row r="43" spans="1:5" ht="17">
      <c r="A43">
        <v>42</v>
      </c>
      <c r="B43" s="1" t="s">
        <v>40</v>
      </c>
      <c r="C43" s="2">
        <v>0.76</v>
      </c>
      <c r="D43" s="2">
        <v>0.14000000000000001</v>
      </c>
      <c r="E43" s="2">
        <v>0.1</v>
      </c>
    </row>
    <row r="44" spans="1:5" ht="17">
      <c r="A44">
        <v>43</v>
      </c>
      <c r="B44" s="1" t="s">
        <v>4</v>
      </c>
      <c r="C44" s="2">
        <v>0.65</v>
      </c>
      <c r="D44" s="2">
        <v>0.22</v>
      </c>
      <c r="E44" s="2">
        <v>0.13</v>
      </c>
    </row>
    <row r="45" spans="1:5" ht="17">
      <c r="A45">
        <v>44</v>
      </c>
      <c r="B45" s="1" t="s">
        <v>52</v>
      </c>
      <c r="C45" s="2">
        <v>0.66</v>
      </c>
      <c r="D45" s="2">
        <v>0.2</v>
      </c>
      <c r="E45" s="2">
        <v>0.14000000000000001</v>
      </c>
    </row>
    <row r="46" spans="1:5" ht="17">
      <c r="A46">
        <v>45</v>
      </c>
      <c r="B46" s="1" t="s">
        <v>10</v>
      </c>
      <c r="C46" s="2">
        <v>0.67</v>
      </c>
      <c r="D46" s="2">
        <v>0.2</v>
      </c>
      <c r="E46" s="2">
        <v>0.13</v>
      </c>
    </row>
    <row r="47" spans="1:5" ht="17">
      <c r="A47">
        <v>46</v>
      </c>
      <c r="B47" s="1" t="s">
        <v>43</v>
      </c>
      <c r="C47" s="2">
        <v>0.69</v>
      </c>
      <c r="D47" s="2">
        <v>0.17</v>
      </c>
      <c r="E47" s="2">
        <v>0.14000000000000001</v>
      </c>
    </row>
    <row r="48" spans="1:5" ht="17">
      <c r="A48">
        <v>47</v>
      </c>
      <c r="B48" s="1" t="s">
        <v>21</v>
      </c>
      <c r="C48" s="2">
        <v>0.64</v>
      </c>
      <c r="D48" s="2">
        <v>0.22</v>
      </c>
      <c r="E48" s="2">
        <v>0.14000000000000001</v>
      </c>
    </row>
    <row r="49" spans="1:5" ht="17">
      <c r="A49">
        <v>48</v>
      </c>
      <c r="B49" s="1" t="s">
        <v>37</v>
      </c>
      <c r="C49" s="2">
        <v>0.68</v>
      </c>
      <c r="D49" s="2">
        <v>0.18</v>
      </c>
      <c r="E49" s="2">
        <v>0.14000000000000001</v>
      </c>
    </row>
    <row r="50" spans="1:5" ht="17">
      <c r="A50">
        <v>49</v>
      </c>
      <c r="B50" s="1" t="s">
        <v>9</v>
      </c>
      <c r="C50" s="2">
        <v>0.62</v>
      </c>
      <c r="D50" s="2">
        <v>0.25</v>
      </c>
      <c r="E50" s="2">
        <v>0.13</v>
      </c>
    </row>
    <row r="51" spans="1:5" ht="17">
      <c r="A51">
        <v>50</v>
      </c>
      <c r="B51" s="1" t="s">
        <v>29</v>
      </c>
      <c r="C51" s="2">
        <v>0.66</v>
      </c>
      <c r="D51" s="2">
        <v>0.19</v>
      </c>
      <c r="E51" s="2">
        <v>0.15</v>
      </c>
    </row>
    <row r="52" spans="1:5" ht="17">
      <c r="A52">
        <v>51</v>
      </c>
      <c r="B52" s="1" t="s">
        <v>42</v>
      </c>
      <c r="C52" s="2">
        <v>0.71</v>
      </c>
      <c r="D52" s="2">
        <v>0.16</v>
      </c>
      <c r="E52" s="2">
        <v>0.13</v>
      </c>
    </row>
  </sheetData>
  <autoFilter ref="A1:E1" xr:uid="{11ECB740-B411-C946-B156-62D9D3635B66}">
    <sortState xmlns:xlrd2="http://schemas.microsoft.com/office/spreadsheetml/2017/richdata2" ref="A2:E52">
      <sortCondition ref="B1:B5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F377-20E3-5A43-AC55-E5EE4687FD27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2" sqref="G12"/>
    </sheetView>
  </sheetViews>
  <sheetFormatPr baseColWidth="10" defaultRowHeight="16"/>
  <sheetData>
    <row r="1" spans="1:52" ht="34">
      <c r="A1" s="1" t="s">
        <v>0</v>
      </c>
      <c r="B1" s="1" t="s">
        <v>3</v>
      </c>
      <c r="C1" s="1" t="s">
        <v>46</v>
      </c>
      <c r="D1" s="1" t="s">
        <v>18</v>
      </c>
      <c r="E1" s="1" t="s">
        <v>15</v>
      </c>
      <c r="F1" s="1" t="s">
        <v>50</v>
      </c>
      <c r="G1" s="1" t="s">
        <v>36</v>
      </c>
      <c r="H1" s="1" t="s">
        <v>23</v>
      </c>
      <c r="I1" s="1" t="s">
        <v>12</v>
      </c>
      <c r="J1" s="1" t="s">
        <v>47</v>
      </c>
      <c r="K1" s="1" t="s">
        <v>22</v>
      </c>
      <c r="L1" s="1" t="s">
        <v>8</v>
      </c>
      <c r="M1" s="1" t="s">
        <v>44</v>
      </c>
      <c r="N1" s="1" t="s">
        <v>26</v>
      </c>
      <c r="O1" s="1" t="s">
        <v>11</v>
      </c>
      <c r="P1" s="1" t="s">
        <v>7</v>
      </c>
      <c r="Q1" s="1" t="s">
        <v>30</v>
      </c>
      <c r="R1" s="1" t="s">
        <v>16</v>
      </c>
      <c r="S1" s="1" t="s">
        <v>6</v>
      </c>
      <c r="T1" s="1" t="s">
        <v>34</v>
      </c>
      <c r="U1" s="1" t="s">
        <v>41</v>
      </c>
      <c r="V1" s="1" t="s">
        <v>20</v>
      </c>
      <c r="W1" s="1" t="s">
        <v>39</v>
      </c>
      <c r="X1" s="1" t="s">
        <v>17</v>
      </c>
      <c r="Y1" s="1" t="s">
        <v>28</v>
      </c>
      <c r="Z1" s="1" t="s">
        <v>24</v>
      </c>
      <c r="AA1" s="1" t="s">
        <v>27</v>
      </c>
      <c r="AB1" s="1" t="s">
        <v>45</v>
      </c>
      <c r="AC1" s="1" t="s">
        <v>31</v>
      </c>
      <c r="AD1" s="1" t="s">
        <v>14</v>
      </c>
      <c r="AE1" s="1" t="s">
        <v>32</v>
      </c>
      <c r="AF1" s="1" t="s">
        <v>25</v>
      </c>
      <c r="AG1" s="1" t="s">
        <v>38</v>
      </c>
      <c r="AH1" s="1" t="s">
        <v>33</v>
      </c>
      <c r="AI1" s="1" t="s">
        <v>1</v>
      </c>
      <c r="AJ1" s="1" t="s">
        <v>49</v>
      </c>
      <c r="AK1" s="1" t="s">
        <v>5</v>
      </c>
      <c r="AL1" s="1" t="s">
        <v>13</v>
      </c>
      <c r="AM1" s="1" t="s">
        <v>35</v>
      </c>
      <c r="AN1" t="s">
        <v>51</v>
      </c>
      <c r="AO1" s="1" t="s">
        <v>19</v>
      </c>
      <c r="AP1" s="1" t="s">
        <v>2</v>
      </c>
      <c r="AQ1" s="1" t="s">
        <v>40</v>
      </c>
      <c r="AR1" s="1" t="s">
        <v>4</v>
      </c>
      <c r="AS1" s="1" t="s">
        <v>52</v>
      </c>
      <c r="AT1" s="1" t="s">
        <v>10</v>
      </c>
      <c r="AU1" s="1" t="s">
        <v>43</v>
      </c>
      <c r="AV1" s="1" t="s">
        <v>21</v>
      </c>
      <c r="AW1" s="1" t="s">
        <v>37</v>
      </c>
      <c r="AX1" s="1" t="s">
        <v>9</v>
      </c>
      <c r="AY1" s="1" t="s">
        <v>29</v>
      </c>
      <c r="AZ1" s="1" t="s">
        <v>42</v>
      </c>
    </row>
    <row r="2" spans="1:52" ht="17">
      <c r="A2" s="1" t="s">
        <v>56</v>
      </c>
      <c r="B2" s="2">
        <v>0.65</v>
      </c>
      <c r="C2" s="2">
        <v>0.71</v>
      </c>
      <c r="D2" s="2">
        <v>0.66</v>
      </c>
      <c r="E2" s="2">
        <v>0.68</v>
      </c>
      <c r="F2" s="2">
        <v>0.64</v>
      </c>
      <c r="G2" s="2">
        <v>0.68</v>
      </c>
      <c r="H2" s="2">
        <v>0.64</v>
      </c>
      <c r="I2" s="2">
        <v>0.6</v>
      </c>
      <c r="J2" s="2">
        <v>0.67</v>
      </c>
      <c r="K2" s="2">
        <v>0.63</v>
      </c>
      <c r="L2" s="2">
        <v>0.63</v>
      </c>
      <c r="M2" s="2">
        <v>0.73</v>
      </c>
      <c r="N2" s="2">
        <v>0.68</v>
      </c>
      <c r="O2" s="2">
        <v>0.62</v>
      </c>
      <c r="P2" s="2">
        <v>0.65</v>
      </c>
      <c r="Q2" s="2">
        <v>0.69</v>
      </c>
      <c r="R2" s="2">
        <v>0.65</v>
      </c>
      <c r="S2" s="2">
        <v>0.64</v>
      </c>
      <c r="T2" s="2">
        <v>0.67</v>
      </c>
      <c r="U2" s="2">
        <v>0.69</v>
      </c>
      <c r="V2" s="2">
        <v>0.62</v>
      </c>
      <c r="W2" s="2">
        <v>0.63</v>
      </c>
      <c r="X2" s="2">
        <v>0.65</v>
      </c>
      <c r="Y2" s="2">
        <v>0.68</v>
      </c>
      <c r="Z2" s="2">
        <v>0.68</v>
      </c>
      <c r="AA2" s="2">
        <v>0.67</v>
      </c>
      <c r="AB2" s="2">
        <v>0.74</v>
      </c>
      <c r="AC2" s="2">
        <v>0.69</v>
      </c>
      <c r="AD2" s="2">
        <v>0.68</v>
      </c>
      <c r="AE2" s="2">
        <v>0.67</v>
      </c>
      <c r="AF2" s="2">
        <v>0.62</v>
      </c>
      <c r="AG2" s="2">
        <v>0.67</v>
      </c>
      <c r="AH2" s="2">
        <v>0.64</v>
      </c>
      <c r="AI2" s="2">
        <v>0.64</v>
      </c>
      <c r="AJ2" s="2">
        <v>0.69</v>
      </c>
      <c r="AK2" s="2">
        <v>0.63</v>
      </c>
      <c r="AL2" s="2">
        <v>0.68</v>
      </c>
      <c r="AM2" s="2">
        <v>0.69</v>
      </c>
      <c r="AN2" s="2">
        <v>0.61</v>
      </c>
      <c r="AO2" s="2">
        <v>0.65</v>
      </c>
      <c r="AP2" s="2">
        <v>0.67</v>
      </c>
      <c r="AQ2" s="2">
        <v>0.76</v>
      </c>
      <c r="AR2" s="2">
        <v>0.65</v>
      </c>
      <c r="AS2" s="2">
        <v>0.66</v>
      </c>
      <c r="AT2" s="2">
        <v>0.67</v>
      </c>
      <c r="AU2" s="2">
        <v>0.69</v>
      </c>
      <c r="AV2" s="2">
        <v>0.64</v>
      </c>
      <c r="AW2" s="2">
        <v>0.68</v>
      </c>
      <c r="AX2" s="2">
        <v>0.62</v>
      </c>
      <c r="AY2" s="2">
        <v>0.66</v>
      </c>
      <c r="AZ2" s="2">
        <v>0.71</v>
      </c>
    </row>
    <row r="3" spans="1:52" ht="17">
      <c r="A3" s="1" t="s">
        <v>57</v>
      </c>
      <c r="B3" s="2">
        <v>0.23</v>
      </c>
      <c r="C3" s="2">
        <v>0.15</v>
      </c>
      <c r="D3" s="2">
        <v>0.21</v>
      </c>
      <c r="E3" s="2">
        <v>0.2</v>
      </c>
      <c r="F3" s="2">
        <v>0.2</v>
      </c>
      <c r="G3" s="2">
        <v>0.17</v>
      </c>
      <c r="H3" s="2">
        <v>0.21</v>
      </c>
      <c r="I3" s="2">
        <v>0.26</v>
      </c>
      <c r="J3" s="2">
        <v>0.17</v>
      </c>
      <c r="K3" s="2">
        <v>0.22</v>
      </c>
      <c r="L3" s="2">
        <v>0.23</v>
      </c>
      <c r="M3" s="2">
        <v>0.14000000000000001</v>
      </c>
      <c r="N3" s="2">
        <v>0.19</v>
      </c>
      <c r="O3" s="2">
        <v>0.23</v>
      </c>
      <c r="P3" s="2">
        <v>0.22</v>
      </c>
      <c r="Q3" s="2">
        <v>0.19</v>
      </c>
      <c r="R3" s="2">
        <v>0.2</v>
      </c>
      <c r="S3" s="2">
        <v>0.23</v>
      </c>
      <c r="T3" s="2">
        <v>0.19</v>
      </c>
      <c r="U3" s="2">
        <v>0.18</v>
      </c>
      <c r="V3" s="2">
        <v>0.23</v>
      </c>
      <c r="W3" s="2">
        <v>0.2</v>
      </c>
      <c r="X3" s="2">
        <v>0.2</v>
      </c>
      <c r="Y3" s="2">
        <v>0.19</v>
      </c>
      <c r="Z3" s="2">
        <v>0.2</v>
      </c>
      <c r="AA3" s="2">
        <v>0.19</v>
      </c>
      <c r="AB3" s="2">
        <v>0.14000000000000001</v>
      </c>
      <c r="AC3" s="2">
        <v>0.18</v>
      </c>
      <c r="AD3" s="2">
        <v>0.2</v>
      </c>
      <c r="AE3" s="2">
        <v>0.2</v>
      </c>
      <c r="AF3" s="2">
        <v>0.23</v>
      </c>
      <c r="AG3" s="2">
        <v>0.18</v>
      </c>
      <c r="AH3" s="2">
        <v>0.2</v>
      </c>
      <c r="AI3" s="2">
        <v>0.23</v>
      </c>
      <c r="AJ3" s="2">
        <v>0.19</v>
      </c>
      <c r="AK3" s="2">
        <v>0.23</v>
      </c>
      <c r="AL3" s="2">
        <v>0.2</v>
      </c>
      <c r="AM3" s="2">
        <v>0.18</v>
      </c>
      <c r="AN3" s="2">
        <v>0.24</v>
      </c>
      <c r="AO3" s="2">
        <v>0.22</v>
      </c>
      <c r="AP3" s="2">
        <v>0.22</v>
      </c>
      <c r="AQ3" s="2">
        <v>0.14000000000000001</v>
      </c>
      <c r="AR3" s="2">
        <v>0.22</v>
      </c>
      <c r="AS3" s="2">
        <v>0.2</v>
      </c>
      <c r="AT3" s="2">
        <v>0.2</v>
      </c>
      <c r="AU3" s="2">
        <v>0.17</v>
      </c>
      <c r="AV3" s="2">
        <v>0.22</v>
      </c>
      <c r="AW3" s="2">
        <v>0.18</v>
      </c>
      <c r="AX3" s="2">
        <v>0.25</v>
      </c>
      <c r="AY3" s="2">
        <v>0.19</v>
      </c>
      <c r="AZ3" s="2">
        <v>0.16</v>
      </c>
    </row>
    <row r="4" spans="1:52" ht="17">
      <c r="A4" s="1" t="s">
        <v>58</v>
      </c>
      <c r="B4" s="2">
        <v>0.12</v>
      </c>
      <c r="C4" s="2">
        <v>0.14000000000000001</v>
      </c>
      <c r="D4" s="2">
        <v>0.13</v>
      </c>
      <c r="E4" s="2">
        <v>0.12</v>
      </c>
      <c r="F4" s="2">
        <v>0.16</v>
      </c>
      <c r="G4" s="2">
        <v>0.15</v>
      </c>
      <c r="H4" s="2">
        <v>0.15</v>
      </c>
      <c r="I4" s="2">
        <v>0.14000000000000001</v>
      </c>
      <c r="J4" s="2">
        <v>0.16</v>
      </c>
      <c r="K4" s="2">
        <v>0.15</v>
      </c>
      <c r="L4" s="2">
        <v>0.14000000000000001</v>
      </c>
      <c r="M4" s="2">
        <v>0.13</v>
      </c>
      <c r="N4" s="2">
        <v>0.13</v>
      </c>
      <c r="O4" s="2">
        <v>0.15</v>
      </c>
      <c r="P4" s="2">
        <v>0.13</v>
      </c>
      <c r="Q4" s="2">
        <v>0.12</v>
      </c>
      <c r="R4" s="2">
        <v>0.15</v>
      </c>
      <c r="S4" s="2">
        <v>0.13</v>
      </c>
      <c r="T4" s="2">
        <v>0.14000000000000001</v>
      </c>
      <c r="U4" s="2">
        <v>0.13</v>
      </c>
      <c r="V4" s="2">
        <v>0.15</v>
      </c>
      <c r="W4" s="2">
        <v>0.17</v>
      </c>
      <c r="X4" s="2">
        <v>0.15</v>
      </c>
      <c r="Y4" s="2">
        <v>0.13</v>
      </c>
      <c r="Z4" s="2">
        <v>0.12</v>
      </c>
      <c r="AA4" s="2">
        <v>0.14000000000000001</v>
      </c>
      <c r="AB4" s="2">
        <v>0.12</v>
      </c>
      <c r="AC4" s="2">
        <v>0.13</v>
      </c>
      <c r="AD4" s="2">
        <v>0.12</v>
      </c>
      <c r="AE4" s="2">
        <v>0.13</v>
      </c>
      <c r="AF4" s="2">
        <v>0.15</v>
      </c>
      <c r="AG4" s="2">
        <v>0.15</v>
      </c>
      <c r="AH4" s="2">
        <v>0.16</v>
      </c>
      <c r="AI4" s="2">
        <v>0.13</v>
      </c>
      <c r="AJ4" s="2">
        <v>0.12</v>
      </c>
      <c r="AK4" s="2">
        <v>0.14000000000000001</v>
      </c>
      <c r="AL4" s="2">
        <v>0.12</v>
      </c>
      <c r="AM4" s="2">
        <v>0.13</v>
      </c>
      <c r="AN4" s="2">
        <v>0.15</v>
      </c>
      <c r="AO4" s="2">
        <v>0.13</v>
      </c>
      <c r="AP4" s="2">
        <v>0.11</v>
      </c>
      <c r="AQ4" s="2">
        <v>0.1</v>
      </c>
      <c r="AR4" s="2">
        <v>0.13</v>
      </c>
      <c r="AS4" s="2">
        <v>0.14000000000000001</v>
      </c>
      <c r="AT4" s="2">
        <v>0.13</v>
      </c>
      <c r="AU4" s="2">
        <v>0.14000000000000001</v>
      </c>
      <c r="AV4" s="2">
        <v>0.14000000000000001</v>
      </c>
      <c r="AW4" s="2">
        <v>0.14000000000000001</v>
      </c>
      <c r="AX4" s="2">
        <v>0.13</v>
      </c>
      <c r="AY4" s="2">
        <v>0.15</v>
      </c>
      <c r="AZ4" s="2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9153-05C5-3740-BBC5-8C23FFB4E549}">
  <dimension ref="A1:D22"/>
  <sheetViews>
    <sheetView tabSelected="1" topLeftCell="A3" workbookViewId="0">
      <selection activeCell="K17" sqref="K17"/>
    </sheetView>
  </sheetViews>
  <sheetFormatPr baseColWidth="10" defaultRowHeight="16"/>
  <cols>
    <col min="1" max="1" width="13" bestFit="1" customWidth="1"/>
    <col min="2" max="2" width="16.6640625" bestFit="1" customWidth="1"/>
    <col min="3" max="3" width="15.6640625" bestFit="1" customWidth="1"/>
  </cols>
  <sheetData>
    <row r="1" spans="1:4">
      <c r="A1" t="s">
        <v>59</v>
      </c>
      <c r="B1" t="s">
        <v>60</v>
      </c>
      <c r="C1" t="s">
        <v>56</v>
      </c>
      <c r="D1" t="s">
        <v>57</v>
      </c>
    </row>
    <row r="2" spans="1:4">
      <c r="A2" t="s">
        <v>37</v>
      </c>
      <c r="B2" t="s">
        <v>61</v>
      </c>
      <c r="C2" s="6">
        <f>VLOOKUP(sales_region_lookup!A2, 'by search term'!B:C, 2, FALSE)</f>
        <v>0.68</v>
      </c>
      <c r="D2" s="7">
        <f>_xlfn.XLOOKUP(A2, 'by search term'!B1:B52, 'by search term'!D1:D52, "not found")</f>
        <v>0.18</v>
      </c>
    </row>
    <row r="3" spans="1:4">
      <c r="A3" t="s">
        <v>35</v>
      </c>
      <c r="B3" t="s">
        <v>61</v>
      </c>
      <c r="C3" s="6">
        <f>VLOOKUP(sales_region_lookup!A3, 'by search term'!B:C, 2, FALSE)</f>
        <v>0.69</v>
      </c>
      <c r="D3" s="7">
        <f>_xlfn.XLOOKUP(A3, 'by search term'!B2:B53, 'by search term'!D2:D53, "not found")</f>
        <v>0.18</v>
      </c>
    </row>
    <row r="4" spans="1:4">
      <c r="A4" t="s">
        <v>26</v>
      </c>
      <c r="B4" t="s">
        <v>61</v>
      </c>
      <c r="C4" s="6">
        <f>VLOOKUP(sales_region_lookup!A4, 'by search term'!B:C, 2, FALSE)</f>
        <v>0.68</v>
      </c>
      <c r="D4" s="7">
        <f>_xlfn.XLOOKUP(A4, 'by search term'!B3:B54, 'by search term'!D3:D54, "not found")</f>
        <v>0.19</v>
      </c>
    </row>
    <row r="5" spans="1:4">
      <c r="A5" t="s">
        <v>45</v>
      </c>
      <c r="B5" t="s">
        <v>61</v>
      </c>
      <c r="C5" s="6">
        <f>VLOOKUP(sales_region_lookup!A5, 'by search term'!B:C, 2, FALSE)</f>
        <v>0.74</v>
      </c>
      <c r="D5" s="7">
        <f>_xlfn.XLOOKUP(A5, 'by search term'!B4:B55, 'by search term'!D4:D55, "not found")</f>
        <v>0.14000000000000001</v>
      </c>
    </row>
    <row r="6" spans="1:4">
      <c r="A6" t="s">
        <v>49</v>
      </c>
      <c r="B6" t="s">
        <v>62</v>
      </c>
      <c r="C6" s="6">
        <f>VLOOKUP(sales_region_lookup!A6, 'by search term'!B:C, 2, FALSE)</f>
        <v>0.69</v>
      </c>
      <c r="D6" s="7">
        <f>_xlfn.XLOOKUP(A6, 'by search term'!B5:B56, 'by search term'!D5:D56, "not found")</f>
        <v>0.19</v>
      </c>
    </row>
    <row r="7" spans="1:4">
      <c r="A7" t="s">
        <v>40</v>
      </c>
      <c r="B7" t="s">
        <v>62</v>
      </c>
      <c r="C7" s="6">
        <f>VLOOKUP(sales_region_lookup!A7, 'by search term'!B:C, 2, FALSE)</f>
        <v>0.76</v>
      </c>
      <c r="D7" s="7">
        <f>_xlfn.XLOOKUP(A7, 'by search term'!B6:B57, 'by search term'!D6:D57, "not found")</f>
        <v>0.14000000000000001</v>
      </c>
    </row>
    <row r="8" spans="1:4">
      <c r="A8" t="s">
        <v>31</v>
      </c>
      <c r="B8" t="s">
        <v>62</v>
      </c>
      <c r="C8" s="6">
        <f>VLOOKUP(sales_region_lookup!A8, 'by search term'!B:C, 2, FALSE)</f>
        <v>0.69</v>
      </c>
      <c r="D8" s="7">
        <f>_xlfn.XLOOKUP(A8, 'by search term'!B7:B58, 'by search term'!D7:D58, "not found")</f>
        <v>0.18</v>
      </c>
    </row>
    <row r="9" spans="1:4">
      <c r="A9" t="s">
        <v>28</v>
      </c>
      <c r="B9" t="s">
        <v>62</v>
      </c>
      <c r="C9" s="6">
        <f>VLOOKUP(sales_region_lookup!A9, 'by search term'!B:C, 2, FALSE)</f>
        <v>0.68</v>
      </c>
      <c r="D9" s="7">
        <f>_xlfn.XLOOKUP(A9, 'by search term'!B8:B59, 'by search term'!D8:D59, "not found")</f>
        <v>0.19</v>
      </c>
    </row>
    <row r="10" spans="1:4">
      <c r="A10" t="s">
        <v>29</v>
      </c>
      <c r="B10" t="s">
        <v>62</v>
      </c>
      <c r="C10" s="6">
        <f>VLOOKUP(sales_region_lookup!A10, 'by search term'!B:C, 2, FALSE)</f>
        <v>0.66</v>
      </c>
      <c r="D10" s="7">
        <f>_xlfn.XLOOKUP(A10, 'by search term'!B9:B60, 'by search term'!D9:D60, "not found")</f>
        <v>0.19</v>
      </c>
    </row>
    <row r="11" spans="1:4">
      <c r="A11" t="s">
        <v>17</v>
      </c>
      <c r="B11" t="s">
        <v>62</v>
      </c>
      <c r="C11" s="6">
        <f>VLOOKUP(sales_region_lookup!A11, 'by search term'!B:C, 2, FALSE)</f>
        <v>0.65</v>
      </c>
      <c r="D11" s="7">
        <f>_xlfn.XLOOKUP(A11, 'by search term'!B10:B61, 'by search term'!D10:D61, "not found")</f>
        <v>0.2</v>
      </c>
    </row>
    <row r="13" spans="1:4">
      <c r="A13" s="8" t="s">
        <v>60</v>
      </c>
      <c r="B13" t="s">
        <v>62</v>
      </c>
    </row>
    <row r="15" spans="1:4">
      <c r="A15" s="8" t="s">
        <v>63</v>
      </c>
      <c r="B15" s="10" t="s">
        <v>66</v>
      </c>
      <c r="C15" s="10" t="s">
        <v>65</v>
      </c>
    </row>
    <row r="16" spans="1:4">
      <c r="A16" s="9" t="s">
        <v>17</v>
      </c>
      <c r="B16" s="10">
        <v>0.65</v>
      </c>
      <c r="C16" s="10">
        <v>0.2</v>
      </c>
    </row>
    <row r="17" spans="1:3">
      <c r="A17" s="9" t="s">
        <v>28</v>
      </c>
      <c r="B17" s="10">
        <v>0.68</v>
      </c>
      <c r="C17" s="10">
        <v>0.19</v>
      </c>
    </row>
    <row r="18" spans="1:3">
      <c r="A18" s="9" t="s">
        <v>31</v>
      </c>
      <c r="B18" s="10">
        <v>0.69</v>
      </c>
      <c r="C18" s="10">
        <v>0.18</v>
      </c>
    </row>
    <row r="19" spans="1:3">
      <c r="A19" s="9" t="s">
        <v>49</v>
      </c>
      <c r="B19" s="10">
        <v>0.69</v>
      </c>
      <c r="C19" s="10">
        <v>0.19</v>
      </c>
    </row>
    <row r="20" spans="1:3">
      <c r="A20" s="9" t="s">
        <v>40</v>
      </c>
      <c r="B20" s="10">
        <v>0.76</v>
      </c>
      <c r="C20" s="10">
        <v>0.14000000000000001</v>
      </c>
    </row>
    <row r="21" spans="1:3">
      <c r="A21" s="9" t="s">
        <v>29</v>
      </c>
      <c r="B21" s="10">
        <v>0.66</v>
      </c>
      <c r="C21" s="10">
        <v>0.19</v>
      </c>
    </row>
    <row r="22" spans="1:3">
      <c r="A22" s="9" t="s">
        <v>64</v>
      </c>
      <c r="B22" s="10">
        <v>4.13</v>
      </c>
      <c r="C22" s="10">
        <v>1.0900000000000001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sales_region_lookup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meric capar</dc:creator>
  <cp:lastModifiedBy>meric capar</cp:lastModifiedBy>
  <dcterms:created xsi:type="dcterms:W3CDTF">2026-10-15T18:07:42Z</dcterms:created>
  <dcterms:modified xsi:type="dcterms:W3CDTF">2026-10-16T03:03:38Z</dcterms:modified>
</cp:coreProperties>
</file>